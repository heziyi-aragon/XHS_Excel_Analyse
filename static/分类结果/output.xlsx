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<sst xmlns="http://schemas.openxmlformats.org/spreadsheetml/2006/main" count="2635" uniqueCount="743">
  <si>
    <r>
      <rPr>
        <b val="true"/>
        <sz val="11"/>
        <rFont val="Noto Sans CJK SC"/>
        <family val="2"/>
      </rPr>
      <t xml:space="preserve">是否</t>
    </r>
    <r>
      <rPr>
        <b val="true"/>
        <sz val="11"/>
        <rFont val="Cambria"/>
        <family val="0"/>
        <charset val="1"/>
      </rPr>
      <t xml:space="preserve">New KOL
</t>
    </r>
    <r>
      <rPr>
        <b val="true"/>
        <sz val="11"/>
        <rFont val="Noto Sans CJK SC"/>
        <family val="2"/>
      </rPr>
      <t xml:space="preserve">（近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个月未合作过</t>
    </r>
    <r>
      <rPr>
        <b val="true"/>
        <sz val="11"/>
        <rFont val="Cambria"/>
        <family val="0"/>
        <charset val="1"/>
      </rPr>
      <t xml:space="preserve">olay</t>
    </r>
    <r>
      <rPr>
        <b val="true"/>
        <sz val="11"/>
        <rFont val="Noto Sans CJK SC"/>
        <family val="2"/>
      </rPr>
      <t xml:space="preserve">）</t>
    </r>
  </si>
  <si>
    <t xml:space="preserve">平台图文参考价
    （待核价）</t>
  </si>
  <si>
    <t xml:space="preserve">平台视频参考价
    （待核价）</t>
  </si>
  <si>
    <t xml:space="preserve">Type</t>
  </si>
  <si>
    <t xml:space="preserve">Tier</t>
  </si>
  <si>
    <r>
      <rPr>
        <b val="true"/>
        <sz val="11"/>
        <rFont val="Noto Sans CJK SC"/>
        <family val="2"/>
      </rPr>
      <t xml:space="preserve">粉丝数（</t>
    </r>
    <r>
      <rPr>
        <b val="true"/>
        <sz val="11"/>
        <rFont val="Cambria"/>
        <family val="0"/>
        <charset val="1"/>
      </rPr>
      <t xml:space="preserve">w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</si>
  <si>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18-24</t>
    </r>
    <r>
      <rPr>
        <b val="true"/>
        <sz val="11"/>
        <rFont val="Noto Sans CJK SC"/>
        <family val="2"/>
      </rPr>
      <t xml:space="preserve">岁粉丝占比</t>
    </r>
  </si>
  <si>
    <r>
      <rPr>
        <b val="true"/>
        <sz val="11"/>
        <rFont val="Noto Sans CJK SC"/>
        <family val="2"/>
      </rPr>
      <t xml:space="preserve">＞</t>
    </r>
    <r>
      <rPr>
        <b val="true"/>
        <sz val="11"/>
        <rFont val="Cambria"/>
        <family val="0"/>
        <charset val="1"/>
      </rPr>
      <t xml:space="preserve">44</t>
    </r>
    <r>
      <rPr>
        <b val="true"/>
        <sz val="11"/>
        <rFont val="Noto Sans CJK SC"/>
        <family val="2"/>
      </rPr>
      <t xml:space="preserve">占比</t>
    </r>
  </si>
  <si>
    <t xml:space="preserve">女粉占比</t>
  </si>
  <si>
    <t xml:space="preserve">CTR</t>
  </si>
  <si>
    <t xml:space="preserve">CPV</t>
  </si>
  <si>
    <r>
      <rPr>
        <b val="true"/>
        <sz val="11"/>
        <rFont val="Noto Sans CJK SC"/>
        <family val="2"/>
      </rPr>
      <t xml:space="preserve">合作笔记
    平均</t>
    </r>
    <r>
      <rPr>
        <b val="true"/>
        <sz val="11"/>
        <rFont val="Cambria"/>
        <family val="0"/>
        <charset val="1"/>
      </rPr>
      <t xml:space="preserve">CPE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</si>
  <si>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CPUV
&lt;</t>
    </r>
    <r>
      <rPr>
        <b val="true"/>
        <sz val="11"/>
        <rFont val="Noto Sans CJK SC"/>
        <family val="2"/>
      </rPr>
      <t xml:space="preserve">￥</t>
    </r>
    <r>
      <rPr>
        <b val="true"/>
        <sz val="11"/>
        <rFont val="Cambria"/>
        <family val="0"/>
        <charset val="1"/>
      </rPr>
      <t xml:space="preserve">35</t>
    </r>
  </si>
  <si>
    <r>
      <rPr>
        <b val="true"/>
        <sz val="11"/>
        <rFont val="Noto Sans CJK SC"/>
        <family val="2"/>
      </rPr>
      <t xml:space="preserve">合作笔记
    曝光数中位值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</si>
  <si>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阅读数中位值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</si>
  <si>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互动量中位值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</si>
  <si>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外溢进店中位数
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天合作笔记全流量</t>
    </r>
  </si>
  <si>
    <t xml:space="preserve">合作笔记达人阅读发现页流量来源占比</t>
  </si>
  <si>
    <t xml:space="preserve">合作笔记达人阅读搜索页流量来源占比</t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</si>
  <si>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图文（优于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</si>
  <si>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视频（优于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</si>
  <si>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t xml:space="preserve">期望档期</t>
  </si>
  <si>
    <t xml:space="preserve">推荐合作形式</t>
  </si>
  <si>
    <r>
      <rPr>
        <b val="true"/>
        <sz val="11"/>
        <rFont val="Cambria"/>
        <family val="0"/>
        <charset val="1"/>
      </rPr>
      <t xml:space="preserve">Content Angle
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大部分）</t>
    </r>
  </si>
  <si>
    <r>
      <rPr>
        <b val="true"/>
        <sz val="11"/>
        <rFont val="Noto Sans CJK SC"/>
        <family val="2"/>
      </rPr>
      <t xml:space="preserve">子</t>
    </r>
    <r>
      <rPr>
        <b val="true"/>
        <sz val="11"/>
        <rFont val="Cambria"/>
        <family val="0"/>
        <charset val="1"/>
      </rPr>
      <t xml:space="preserve">angle</t>
    </r>
  </si>
  <si>
    <t xml:space="preserve">内容细节
（如有）</t>
  </si>
  <si>
    <r>
      <rPr>
        <b val="true"/>
        <sz val="11"/>
        <rFont val="Cambria"/>
        <family val="0"/>
        <charset val="1"/>
      </rPr>
      <t xml:space="preserve">Social</t>
    </r>
    <r>
      <rPr>
        <b val="true"/>
        <sz val="11"/>
        <rFont val="Noto Sans CJK SC"/>
        <family val="2"/>
      </rPr>
      <t xml:space="preserve">是否推荐及理由</t>
    </r>
  </si>
  <si>
    <t xml:space="preserve">是否推荐</t>
  </si>
  <si>
    <t xml:space="preserve">原因</t>
  </si>
  <si>
    <t xml:space="preserve">原因标签</t>
  </si>
  <si>
    <t xml:space="preserve">总结说明</t>
  </si>
  <si>
    <t xml:space="preserve">Y</t>
  </si>
  <si>
    <t xml:space="preserve">Beauty</t>
  </si>
  <si>
    <t xml:space="preserve">T3</t>
  </si>
  <si>
    <t xml:space="preserve">-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</si>
  <si>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，油皮护肤，但是阅读数据有点一般</t>
    </r>
  </si>
  <si>
    <t xml:space="preserve">油皮护肤，但是阅读数据有点一般</t>
  </si>
  <si>
    <t xml:space="preserve">阅读低</t>
  </si>
  <si>
    <t xml:space="preserve">达人油皮护肤内容的阅读数据表现一般，未达到预期水平。</t>
  </si>
  <si>
    <t xml:space="preserve">Lifestyle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</si>
  <si>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，近期阅读数据低</t>
    </r>
  </si>
  <si>
    <t xml:space="preserve">近期阅读数据低</t>
  </si>
  <si>
    <t xml:space="preserve">近期合作笔记的阅读数据较低，未达到预期效果。</t>
  </si>
  <si>
    <t xml:space="preserve">/</t>
  </si>
  <si>
    <t xml:space="preserve">T4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</si>
  <si>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月最快档期</t>
    </r>
  </si>
  <si>
    <t xml:space="preserve">报备合集图文</t>
  </si>
  <si>
    <r>
      <rPr>
        <sz val="11"/>
        <color rgb="FF000000"/>
        <rFont val="Noto Sans CJK SC"/>
        <family val="2"/>
      </rPr>
      <t xml:space="preserve">护肤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</si>
  <si>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，随手</t>
    </r>
    <r>
      <rPr>
        <sz val="11"/>
        <color rgb="FF000000"/>
        <rFont val="Calibri"/>
        <family val="2"/>
        <charset val="1"/>
      </rPr>
      <t xml:space="preserve">po</t>
    </r>
    <r>
      <rPr>
        <sz val="11"/>
        <color rgb="FF000000"/>
        <rFont val="Noto Sans CJK SC"/>
        <family val="2"/>
      </rPr>
      <t xml:space="preserve">图文种草账号，可以买个几篇备着</t>
    </r>
  </si>
  <si>
    <r>
      <rPr>
        <sz val="11"/>
        <color rgb="FF000000"/>
        <rFont val="Noto Sans CJK SC"/>
        <family val="2"/>
      </rPr>
      <t xml:space="preserve">随手</t>
    </r>
    <r>
      <rPr>
        <sz val="11"/>
        <color rgb="FF000000"/>
        <rFont val="Calibri"/>
        <family val="2"/>
        <charset val="1"/>
      </rPr>
      <t xml:space="preserve">po</t>
    </r>
    <r>
      <rPr>
        <sz val="11"/>
        <color rgb="FF000000"/>
        <rFont val="Noto Sans CJK SC"/>
        <family val="2"/>
      </rPr>
      <t xml:space="preserve">图文种草账号，可以买个几篇备着</t>
    </r>
  </si>
  <si>
    <t xml:space="preserve">内容契合</t>
  </si>
  <si>
    <r>
      <rPr>
        <sz val="11"/>
        <color rgb="FF000000"/>
        <rFont val="Noto Sans CJK SC"/>
        <family val="2"/>
      </rPr>
      <t xml:space="preserve">达人擅长随手</t>
    </r>
    <r>
      <rPr>
        <sz val="11"/>
        <color rgb="FF000000"/>
        <rFont val="Calibri"/>
        <family val="2"/>
        <charset val="1"/>
      </rPr>
      <t xml:space="preserve">po</t>
    </r>
    <r>
      <rPr>
        <sz val="11"/>
        <color rgb="FF000000"/>
        <rFont val="Noto Sans CJK SC"/>
        <family val="2"/>
      </rPr>
      <t xml:space="preserve">图文种草，符合品牌推广需求。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</si>
  <si>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，更适合做女性成长内容</t>
    </r>
  </si>
  <si>
    <t xml:space="preserve">更适合做女性成长内容</t>
  </si>
  <si>
    <t xml:space="preserve">内容不合适</t>
  </si>
  <si>
    <t xml:space="preserve">达人更适合做女性成长内容，与品牌需求不符。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</si>
  <si>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，产品不太适合</t>
    </r>
  </si>
  <si>
    <t xml:space="preserve">产品不太适合</t>
  </si>
  <si>
    <t xml:space="preserve">产品与达人内容方向不匹配，导致合作效果可能不理想。</t>
  </si>
  <si>
    <t xml:space="preserve">T2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</si>
  <si>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内容一般</t>
    </r>
  </si>
  <si>
    <t xml:space="preserve">内容一般</t>
  </si>
  <si>
    <t xml:space="preserve">内容水</t>
  </si>
  <si>
    <t xml:space="preserve">客户认为该达人内容质量一般，未达到推荐标准。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</si>
  <si>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机构号，合作笔记少，粉丝占比不合理</t>
    </r>
  </si>
  <si>
    <t xml:space="preserve">机构号，合作笔记少，粉丝占比不合理</t>
  </si>
  <si>
    <t xml:space="preserve">机构号</t>
  </si>
  <si>
    <t xml:space="preserve">机构号属性导致合作笔记少，且粉丝占比不合理，影响推广效果。</t>
  </si>
  <si>
    <r>
      <rPr>
        <sz val="11"/>
        <color rgb="FF000000"/>
        <rFont val="Noto Sans CJK SC"/>
        <family val="2"/>
      </rPr>
      <t xml:space="preserve">学霸向导团——好奇大学一日</t>
    </r>
    <r>
      <rPr>
        <sz val="11"/>
        <color rgb="FF000000"/>
        <rFont val="Calibri"/>
        <family val="2"/>
        <charset val="1"/>
      </rPr>
      <t xml:space="preserve">Tour</t>
    </r>
    <r>
      <rPr>
        <sz val="11"/>
        <color rgb="FF000000"/>
        <rFont val="Noto Sans CJK SC"/>
        <family val="2"/>
      </rPr>
      <t xml:space="preserve">（中国传媒大学）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</si>
  <si>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较多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</si>
  <si>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</si>
  <si>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为主，可能不符合品牌推广需求。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</si>
  <si>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，账号不合适</t>
    </r>
  </si>
  <si>
    <t xml:space="preserve">账号不合适</t>
  </si>
  <si>
    <t xml:space="preserve">账号类型不合适</t>
  </si>
  <si>
    <t xml:space="preserve">客户认为该账号类型与需求不符，因此不推荐合作。</t>
  </si>
  <si>
    <t xml:space="preserve">一位高校博主代表一座城，让你无论去哪报到，都有参考攻略！（东华理工大学在读）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</si>
  <si>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，阅读数据一般</t>
    </r>
  </si>
  <si>
    <t xml:space="preserve">阅读数据一般</t>
  </si>
  <si>
    <t xml:space="preserve">达人合作笔记的阅读数据表现一般，未达到预期水平。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</si>
  <si>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，账号类型不合适</t>
    </r>
  </si>
  <si>
    <t xml:space="preserve">账号类型与品牌需求不符，无法有效推广产品。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</si>
  <si>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，不合适</t>
    </r>
  </si>
  <si>
    <t xml:space="preserve">不合适</t>
  </si>
  <si>
    <t xml:space="preserve">客户认为该达人内容与品牌需求不符，因此不推荐合作。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</si>
  <si>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，近期数据比较平</t>
    </r>
  </si>
  <si>
    <t xml:space="preserve">近期数据比较平</t>
  </si>
  <si>
    <t xml:space="preserve">数据不稳</t>
  </si>
  <si>
    <t xml:space="preserve">近期数据表现较为平淡，缺乏稳定的数据支撑。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</si>
  <si>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月末</t>
    </r>
  </si>
  <si>
    <t xml:space="preserve">报备合集视频</t>
  </si>
  <si>
    <t xml:space="preserve">双十一</t>
  </si>
  <si>
    <t xml:space="preserve">双十一清单</t>
  </si>
  <si>
    <t xml:space="preserve">空瓶主题等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</si>
  <si>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，女大好物推荐</t>
    </r>
  </si>
  <si>
    <t xml:space="preserve">女大好物推荐</t>
  </si>
  <si>
    <t xml:space="preserve">粉丝匹配</t>
  </si>
  <si>
    <t xml:space="preserve">达人女性粉丝占比高，契合女大好物推荐需求。</t>
  </si>
  <si>
    <t xml:space="preserve">Drama</t>
  </si>
  <si>
    <t xml:space="preserve">T1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</si>
  <si>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破圈账号不合适</t>
    </r>
  </si>
  <si>
    <t xml:space="preserve">破圈账号不符</t>
  </si>
  <si>
    <t xml:space="preserve">该达人账号类型不符合破圈需求，可能无法有效触达目标受众。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</si>
  <si>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，讲女明星变美内容，账号不合适</t>
    </r>
  </si>
  <si>
    <t xml:space="preserve">讲女明星变美内容，账号不合适</t>
  </si>
  <si>
    <t xml:space="preserve">账号以讲女明星变美内容为主，与品牌需求不符。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</si>
  <si>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，男生吃播</t>
    </r>
  </si>
  <si>
    <t xml:space="preserve">男生吃播</t>
  </si>
  <si>
    <t xml:space="preserve">达人以男生吃播为主，与品牌需求不符。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</si>
  <si>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，暂无合适内容安排</t>
    </r>
  </si>
  <si>
    <t xml:space="preserve">暂无合适内容安排</t>
  </si>
  <si>
    <t xml:space="preserve">暂无合适内容安排，无法满足品牌需求。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</si>
  <si>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月档期</t>
    </r>
  </si>
  <si>
    <t xml:space="preserve">报备单品视频</t>
  </si>
  <si>
    <t xml:space="preserve">破圈</t>
  </si>
  <si>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多元化场景</t>
    </r>
  </si>
  <si>
    <t xml:space="preserve">是否有适合护肤植入的选题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</si>
  <si>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。能做抽象主题的美妆博主</t>
    </r>
  </si>
  <si>
    <t xml:space="preserve">博主擅长抽象主题，与护肤植入需求不符。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</si>
  <si>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，机构感重</t>
    </r>
  </si>
  <si>
    <t xml:space="preserve">机构感重</t>
  </si>
  <si>
    <t xml:space="preserve">达人账号机构感重，可能影响内容真实性和粉丝互动。</t>
  </si>
  <si>
    <t xml:space="preserve">其它</t>
  </si>
  <si>
    <t xml:space="preserve">客户未提供明确信息，无法判断具体原因。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</si>
  <si>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，价格贵，数据一般</t>
    </r>
  </si>
  <si>
    <t xml:space="preserve">价格贵，数据一般</t>
  </si>
  <si>
    <t xml:space="preserve">价格贵</t>
  </si>
  <si>
    <t xml:space="preserve">达人价格偏高，且数据表现一般，性价比不足。</t>
  </si>
  <si>
    <t xml:space="preserve">客户认为达人价格过高，且数据表现一般，性价比较低。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</si>
  <si>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，需要有合适的选题，最好是抖红一起</t>
    </r>
  </si>
  <si>
    <t xml:space="preserve">需要有合适的选题，最好是抖红一起，暂时未明确具体问题。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</si>
  <si>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，游子的好物推荐，但数据一般</t>
    </r>
  </si>
  <si>
    <t xml:space="preserve">游子的好物推荐，但数据一般</t>
  </si>
  <si>
    <t xml:space="preserve">数据差</t>
  </si>
  <si>
    <t xml:space="preserve">游子的好物推荐，但数据表现一般，未达到预期效果。</t>
  </si>
  <si>
    <r>
      <rPr>
        <sz val="11"/>
        <color rgb="FF000000"/>
        <rFont val="Calibri"/>
        <family val="2"/>
        <charset val="1"/>
      </rPr>
      <t xml:space="preserve">N,vlog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</si>
  <si>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</si>
  <si>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，吃播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</si>
  <si>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Noto Sans CJK SC"/>
        <family val="2"/>
      </rPr>
      <t xml:space="preserve">吃播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</si>
  <si>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Noto Sans CJK SC"/>
        <family val="2"/>
      </rPr>
      <t xml:space="preserve">达人以吃播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为主，内容形式不符合品牌推广需求。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</si>
  <si>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，主要都是妆容</t>
    </r>
  </si>
  <si>
    <t xml:space="preserve">主要都是妆容</t>
  </si>
  <si>
    <t xml:space="preserve">主要发布妆容内容，与品牌需求不符。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</si>
  <si>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，做医美比较多，比较适合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</si>
  <si>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Noto Sans CJK SC"/>
        <family val="2"/>
      </rPr>
      <t xml:space="preserve">做医美比较多，比较适合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</si>
  <si>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Noto Sans CJK SC"/>
        <family val="2"/>
      </rPr>
      <t xml:space="preserve">达人内容以医美为主，与品牌需求不符，更适合</t>
    </r>
    <r>
      <rPr>
        <sz val="11"/>
        <color rgb="FF000000"/>
        <rFont val="Calibri"/>
        <family val="2"/>
        <charset val="1"/>
      </rPr>
      <t xml:space="preserve">prox</t>
    </r>
    <r>
      <rPr>
        <sz val="11"/>
        <color rgb="FF000000"/>
        <rFont val="Noto Sans CJK SC"/>
        <family val="2"/>
      </rPr>
      <t xml:space="preserve">类合作。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</si>
  <si>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</t>
    </r>
  </si>
  <si>
    <t xml:space="preserve">数据一般</t>
  </si>
  <si>
    <t xml:space="preserve">达人整体数据表现一般，未达到推荐标准。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</si>
  <si>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，内容不够吸睛，男粉较多</t>
    </r>
  </si>
  <si>
    <t xml:space="preserve">内容不够吸睛，男粉较多</t>
  </si>
  <si>
    <t xml:space="preserve">内容不够吸睛，且男粉较多，与品牌目标受众不匹配。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</si>
  <si>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，情侣日常</t>
    </r>
    <r>
      <rPr>
        <sz val="11"/>
        <color rgb="FF000000"/>
        <rFont val="Calibri"/>
        <family val="2"/>
        <charset val="1"/>
      </rPr>
      <t xml:space="preserve">vlog</t>
    </r>
  </si>
  <si>
    <r>
      <rPr>
        <sz val="11"/>
        <color rgb="FF000000"/>
        <rFont val="Noto Sans CJK SC"/>
        <family val="2"/>
      </rPr>
      <t xml:space="preserve">情侣日常</t>
    </r>
    <r>
      <rPr>
        <sz val="11"/>
        <color rgb="FF000000"/>
        <rFont val="Calibri"/>
        <family val="2"/>
        <charset val="1"/>
      </rPr>
      <t xml:space="preserve">vlog</t>
    </r>
  </si>
  <si>
    <r>
      <rPr>
        <sz val="11"/>
        <color rgb="FF000000"/>
        <rFont val="Noto Sans CJK SC"/>
        <family val="2"/>
      </rPr>
      <t xml:space="preserve">达人以情侣日常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</si>
  <si>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，机构号，更新频率低</t>
    </r>
  </si>
  <si>
    <t xml:space="preserve">机构号，更新频率低</t>
  </si>
  <si>
    <t xml:space="preserve">更新少</t>
  </si>
  <si>
    <t xml:space="preserve">机构号属性且更新频率低，影响内容持续曝光和合作效果。</t>
  </si>
  <si>
    <t xml:space="preserve">缺乏足够数据评估达人表现，无法判断是否符合要求。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</si>
  <si>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类型账号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</si>
  <si>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类型账号</t>
    </r>
  </si>
  <si>
    <r>
      <rPr>
        <sz val="11"/>
        <color rgb="FF000000"/>
        <rFont val="Noto Sans CJK SC"/>
        <family val="2"/>
      </rPr>
      <t xml:space="preserve">该达人为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类型账号，不符合品牌推广需求。</t>
    </r>
  </si>
  <si>
    <r>
      <rPr>
        <sz val="11"/>
        <color rgb="FF000000"/>
        <rFont val="Calibri"/>
        <family val="2"/>
        <charset val="1"/>
      </rPr>
      <t xml:space="preserve">TBD,</t>
    </r>
    <r>
      <rPr>
        <sz val="11"/>
        <color rgb="FF000000"/>
        <rFont val="Noto Sans CJK SC"/>
        <family val="2"/>
      </rPr>
      <t xml:space="preserve">可以做双十一的合集类型内容，但是如内容调整，就不做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</si>
  <si>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，可以做双十一的合集类型内容，但是如内容调整，就不做</t>
    </r>
  </si>
  <si>
    <t xml:space="preserve">达人内容方向需调整，无法满足当前需求。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</si>
  <si>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，数据下滑比较明显</t>
    </r>
  </si>
  <si>
    <t xml:space="preserve">数据下滑比较明显</t>
  </si>
  <si>
    <t xml:space="preserve">达人近期数据下滑明显，合作笔记的阅读和互动表现均不理想。</t>
  </si>
  <si>
    <r>
      <rPr>
        <sz val="11"/>
        <color rgb="FF000000"/>
        <rFont val="Noto Sans CJK SC"/>
        <family val="2"/>
      </rPr>
      <t xml:space="preserve">已</t>
    </r>
    <r>
      <rPr>
        <sz val="11"/>
        <color rgb="FF000000"/>
        <rFont val="Calibri"/>
        <family val="2"/>
        <charset val="1"/>
      </rPr>
      <t xml:space="preserve">bd</t>
    </r>
  </si>
  <si>
    <r>
      <rPr>
        <sz val="11"/>
        <color rgb="FF000000"/>
        <rFont val="Noto Sans CJK SC"/>
        <family val="2"/>
      </rPr>
      <t xml:space="preserve">客户未推荐，原因是已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，可能涉及其他合作限制或内部决策。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</si>
  <si>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，粉丝年龄层偏大，不是</t>
    </r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用户人群爱看的翻包</t>
    </r>
  </si>
  <si>
    <r>
      <rPr>
        <sz val="11"/>
        <color rgb="FF000000"/>
        <rFont val="Noto Sans CJK SC"/>
        <family val="2"/>
      </rPr>
      <t xml:space="preserve">粉丝年龄层偏大，不是</t>
    </r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用户人群爱看的翻包</t>
    </r>
  </si>
  <si>
    <t xml:space="preserve">粉丝年龄大</t>
  </si>
  <si>
    <r>
      <rPr>
        <sz val="11"/>
        <color rgb="FF000000"/>
        <rFont val="Noto Sans CJK SC"/>
        <family val="2"/>
      </rPr>
      <t xml:space="preserve">粉丝年龄层偏大，不符合</t>
    </r>
    <r>
      <rPr>
        <sz val="11"/>
        <color rgb="FF000000"/>
        <rFont val="Calibri"/>
        <family val="2"/>
        <charset val="1"/>
      </rPr>
      <t xml:space="preserve">Gen Z</t>
    </r>
    <r>
      <rPr>
        <sz val="11"/>
        <color rgb="FF000000"/>
        <rFont val="Noto Sans CJK SC"/>
        <family val="2"/>
      </rPr>
      <t xml:space="preserve">用户人群的兴趣偏好。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</si>
  <si>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，暂无合适的内容方向</t>
    </r>
  </si>
  <si>
    <t xml:space="preserve">暂无合适的内容方向</t>
  </si>
  <si>
    <t xml:space="preserve">暂无合适的内容方向，无法满足品牌需求。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</si>
  <si>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，粉丝年龄层偏大，不适合我们的回复负评类型</t>
    </r>
  </si>
  <si>
    <t xml:space="preserve">粉丝年龄层偏大，不适合我们的回复负评类型</t>
  </si>
  <si>
    <t xml:space="preserve">粉丝年龄层偏大，不适合我们的回复负评类型。</t>
  </si>
  <si>
    <t xml:space="preserve">报备单品图文</t>
  </si>
  <si>
    <t xml:space="preserve">单品种草</t>
  </si>
  <si>
    <t xml:space="preserve">负评回应</t>
  </si>
  <si>
    <r>
      <rPr>
        <sz val="11"/>
        <color rgb="FF000000"/>
        <rFont val="Noto Sans CJK SC"/>
        <family val="2"/>
      </rPr>
      <t xml:space="preserve">可以参考这条，讲</t>
    </r>
    <r>
      <rPr>
        <sz val="11"/>
        <color rgb="FF000000"/>
        <rFont val="Calibri"/>
        <family val="2"/>
        <charset val="1"/>
      </rPr>
      <t xml:space="preserve">olay</t>
    </r>
    <r>
      <rPr>
        <sz val="11"/>
        <color rgb="FF000000"/>
        <rFont val="Noto Sans CJK SC"/>
        <family val="2"/>
      </rPr>
      <t xml:space="preserve">新版小白瓶打动我的地方，回击负评，</t>
    </r>
    <r>
      <rPr>
        <sz val="11"/>
        <color rgb="FF000000"/>
        <rFont val="Calibri"/>
        <family val="2"/>
        <charset val="1"/>
      </rPr>
      <t xml:space="preserve">https://www.xiaohongshu.com/explore/68aebcdf000000001d00dc45?xsec_token=MB4KxlwiNg0oEDMiVlIW0rf0kqoCJA843dip3KznuQ4r8=&amp;xsec_source=pc_pgy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</si>
  <si>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，专业测评类型的博主，是真实测，但是日常和商单数据偏差较大</t>
    </r>
  </si>
  <si>
    <t xml:space="preserve">日常和商单数据偏差较大，表现不稳定。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</si>
  <si>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，数据还不错，但是商单产品有点杂</t>
    </r>
  </si>
  <si>
    <t xml:space="preserve">数据还不错，但是商单产品有点杂</t>
  </si>
  <si>
    <t xml:space="preserve">内容杂乱</t>
  </si>
  <si>
    <t xml:space="preserve">商单产品种类繁杂，影响内容聚焦和品牌匹配度。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</si>
  <si>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，内容还可以，不是纯纯的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类型，可以丝滑植入打工人疲态暗黄美白精华，但是数据感觉有点水分</t>
    </r>
  </si>
  <si>
    <t xml:space="preserve">数据表现疑似有水分，整体不够稳定可靠。</t>
  </si>
  <si>
    <t xml:space="preserve">客户未提供具体信息，无法判断不推荐的具体原因。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</si>
  <si>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，已经很久没更新了，发日常数据未回归</t>
    </r>
  </si>
  <si>
    <t xml:space="preserve">已经很久没更新了，发日常数据未回归</t>
  </si>
  <si>
    <t xml:space="preserve">达人长时间未更新，导致数据表现不佳。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</si>
  <si>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，数据下滑明显</t>
    </r>
  </si>
  <si>
    <t xml:space="preserve">数据下滑明显</t>
  </si>
  <si>
    <t xml:space="preserve">达人数据下滑明显，影响推广效果。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</si>
  <si>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，数据有水分</t>
    </r>
  </si>
  <si>
    <t xml:space="preserve">数据有水分</t>
  </si>
  <si>
    <t xml:space="preserve">客户认为该达人数据存在水分，表现不可靠。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</si>
  <si>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，不要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类型的博主了</t>
    </r>
  </si>
  <si>
    <r>
      <rPr>
        <sz val="11"/>
        <color rgb="FF000000"/>
        <rFont val="Noto Sans CJK SC"/>
        <family val="2"/>
      </rPr>
      <t xml:space="preserve">不要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类型的博主了</t>
    </r>
  </si>
  <si>
    <r>
      <rPr>
        <sz val="11"/>
        <color rgb="FF000000"/>
        <rFont val="Noto Sans CJK SC"/>
        <family val="2"/>
      </rPr>
      <t xml:space="preserve">客户不推荐该达人，因为其内容以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为主，不符合当前需求。</t>
    </r>
  </si>
  <si>
    <t xml:space="preserve">暂无合适的内容方向，无法满足品牌推广需求。</t>
  </si>
  <si>
    <r>
      <rPr>
        <sz val="11"/>
        <color rgb="FF000000"/>
        <rFont val="Noto Sans CJK SC"/>
        <family val="2"/>
      </rPr>
      <t xml:space="preserve">重复提号，</t>
    </r>
    <r>
      <rPr>
        <sz val="11"/>
        <color rgb="FF000000"/>
        <rFont val="Calibri"/>
        <family val="2"/>
        <charset val="1"/>
      </rPr>
      <t xml:space="preserve">N</t>
    </r>
  </si>
  <si>
    <t xml:space="preserve">客户未推荐，原因是重复提号，具体细节未明确。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</si>
  <si>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，数据一般的</t>
    </r>
    <r>
      <rPr>
        <sz val="11"/>
        <color rgb="FF000000"/>
        <rFont val="Calibri"/>
        <family val="2"/>
        <charset val="1"/>
      </rPr>
      <t xml:space="preserve">T1</t>
    </r>
    <r>
      <rPr>
        <sz val="11"/>
        <color rgb="FF000000"/>
        <rFont val="Noto Sans CJK SC"/>
        <family val="2"/>
      </rPr>
      <t xml:space="preserve">账号</t>
    </r>
  </si>
  <si>
    <r>
      <rPr>
        <sz val="11"/>
        <color rgb="FF000000"/>
        <rFont val="Noto Sans CJK SC"/>
        <family val="2"/>
      </rPr>
      <t xml:space="preserve">数据一般的</t>
    </r>
    <r>
      <rPr>
        <sz val="11"/>
        <color rgb="FF000000"/>
        <rFont val="Calibri"/>
        <family val="2"/>
        <charset val="1"/>
      </rPr>
      <t xml:space="preserve">T1</t>
    </r>
    <r>
      <rPr>
        <sz val="11"/>
        <color rgb="FF000000"/>
        <rFont val="Noto Sans CJK SC"/>
        <family val="2"/>
      </rPr>
      <t xml:space="preserve">账号</t>
    </r>
  </si>
  <si>
    <r>
      <rPr>
        <sz val="11"/>
        <color rgb="FF000000"/>
        <rFont val="Noto Sans CJK SC"/>
        <family val="2"/>
      </rPr>
      <t xml:space="preserve">该</t>
    </r>
    <r>
      <rPr>
        <sz val="11"/>
        <color rgb="FF000000"/>
        <rFont val="Calibri"/>
        <family val="2"/>
        <charset val="1"/>
      </rPr>
      <t xml:space="preserve">T1</t>
    </r>
    <r>
      <rPr>
        <sz val="11"/>
        <color rgb="FF000000"/>
        <rFont val="Noto Sans CJK SC"/>
        <family val="2"/>
      </rPr>
      <t xml:space="preserve">账号整体数据表现一般，未达到推荐标准。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</si>
  <si>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，男生破圈账号，账号不合适</t>
    </r>
  </si>
  <si>
    <t xml:space="preserve">男生破圈账号，账号不合适</t>
  </si>
  <si>
    <t xml:space="preserve">男生破圈账号，与品牌目标受众不匹配。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</si>
  <si>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，近期阅读数据一般</t>
    </r>
  </si>
  <si>
    <t xml:space="preserve">近期阅读数据一般</t>
  </si>
  <si>
    <t xml:space="preserve">近期阅读数据一般，未达到预期水平。</t>
  </si>
  <si>
    <t xml:space="preserve">重复提号</t>
  </si>
  <si>
    <t xml:space="preserve">客户不推荐该达人原因是重复提号，不符合合作需求。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</si>
  <si>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</si>
  <si>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</t>
    </r>
  </si>
  <si>
    <r>
      <rPr>
        <sz val="11"/>
        <color rgb="FF000000"/>
        <rFont val="Noto Sans CJK SC"/>
        <family val="2"/>
      </rPr>
      <t xml:space="preserve">客户因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月刚合作过而不推荐，可能希望避免短期内重复合作。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</si>
  <si>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，好物清单账号，账号阅读数据一般</t>
    </r>
  </si>
  <si>
    <t xml:space="preserve">好物清单账号，账号阅读数据一般</t>
  </si>
  <si>
    <t xml:space="preserve">好物清单账号，账号阅读数据一般，整体表现不佳。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</si>
  <si>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，价格贵，阅读低</t>
    </r>
  </si>
  <si>
    <t xml:space="preserve">价格贵，阅读低</t>
  </si>
  <si>
    <t xml:space="preserve">客户认为达人合作价格过高，且阅读数据较低，性价比较低。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</si>
  <si>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，阅读数据差</t>
    </r>
  </si>
  <si>
    <t xml:space="preserve">阅读数据差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</si>
  <si>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2608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</si>
  <si>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月刚合作了淡斑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</si>
  <si>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月刚合作了淡斑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</si>
  <si>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月刚合作过淡斑内容，客户可能认为重复合作价值低。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</si>
  <si>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，美女颜值护肤，价格有点小贵</t>
    </r>
  </si>
  <si>
    <t xml:space="preserve">美女颜值护肤，价格有点小贵</t>
  </si>
  <si>
    <t xml:space="preserve">达人内容以美女颜值护肤为主，但价格偏高，性价比较低。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</si>
  <si>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，价格贵，美女颜值</t>
    </r>
  </si>
  <si>
    <t xml:space="preserve">价格贵，美女颜值</t>
  </si>
  <si>
    <t xml:space="preserve">客户认为该达人合作价格过高，且美女颜值相关内容不符合需求。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</si>
  <si>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，阅读数据差，无合适内容安排</t>
    </r>
  </si>
  <si>
    <t xml:space="preserve">阅读数据差，无合适内容安排</t>
  </si>
  <si>
    <t xml:space="preserve">阅读数据差，无合适内容安排，影响推广效果。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</si>
  <si>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，阅读数据低，近期没有数据过一万的</t>
    </r>
  </si>
  <si>
    <t xml:space="preserve">阅读数据低，近期没有数据过一万的</t>
  </si>
  <si>
    <t xml:space="preserve">达人近期笔记阅读数据均未过万，流量表现不佳。</t>
  </si>
  <si>
    <t xml:space="preserve">阅读数据表现较差，未达到预期效果。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</si>
  <si>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，更新频率低，阅读数据差</t>
    </r>
  </si>
  <si>
    <t xml:space="preserve">更新频率低，阅读数据差</t>
  </si>
  <si>
    <t xml:space="preserve">达人阅读数据差，且更新频率低，影响推广效果。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</si>
  <si>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，内容一般，阅读数据低</t>
    </r>
  </si>
  <si>
    <t xml:space="preserve">内容一般，阅读数据低</t>
  </si>
  <si>
    <t xml:space="preserve">内容一般，阅读数据低，无法满足推广需求。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</si>
  <si>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，妆容博主</t>
    </r>
  </si>
  <si>
    <t xml:space="preserve">妆容博主</t>
  </si>
  <si>
    <t xml:space="preserve">妆容博主的内容与品牌需求不符，可能影响推广效果。</t>
  </si>
  <si>
    <t xml:space="preserve">达人合作笔记的阅读数据表现较差，未达到预期效果。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</si>
  <si>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，妆容博主，彩妆较多</t>
    </r>
  </si>
  <si>
    <t xml:space="preserve">妆容博主，彩妆较多</t>
  </si>
  <si>
    <t xml:space="preserve">彩妆号</t>
  </si>
  <si>
    <t xml:space="preserve">妆容博主以彩妆内容为主，不符合护肤类推广需求。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</si>
  <si>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，更新频率低，账号不合适</t>
    </r>
  </si>
  <si>
    <t xml:space="preserve">更新频率低，账号不合适</t>
  </si>
  <si>
    <t xml:space="preserve">达人更新频率低，账号类型与需求不匹配。</t>
  </si>
  <si>
    <t xml:space="preserve">客户未提供明确原因，可能涉及未知因素导致不推荐。</t>
  </si>
  <si>
    <r>
      <rPr>
        <sz val="11"/>
        <color rgb="FF000000"/>
        <rFont val="Calibri"/>
        <family val="2"/>
        <charset val="1"/>
      </rPr>
      <t xml:space="preserve">CMS</t>
    </r>
    <r>
      <rPr>
        <sz val="11"/>
        <color rgb="FF000000"/>
        <rFont val="Noto Sans CJK SC"/>
        <family val="2"/>
      </rPr>
      <t xml:space="preserve">种草</t>
    </r>
  </si>
  <si>
    <t xml:space="preserve">熬夜累丑</t>
  </si>
  <si>
    <t xml:space="preserve">皮肤要显贵，基础款就不要搭配基础款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</si>
  <si>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，适合讲下烟酰胺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概念，近期爆文跟我们产品切入很匹配（普女逆袭，爱喝奶茶咖啡）</t>
    </r>
  </si>
  <si>
    <r>
      <rPr>
        <sz val="11"/>
        <color rgb="FF000000"/>
        <rFont val="Noto Sans CJK SC"/>
        <family val="2"/>
      </rPr>
      <t xml:space="preserve">适合讲下烟酰胺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概念，近期爆文跟我们产品切入很匹配（普女逆袭，爱喝奶茶咖啡）</t>
    </r>
  </si>
  <si>
    <t xml:space="preserve">达人近期爆文与产品切入点匹配，适合传递烟酰胺概念。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</si>
  <si>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，可以拍妈妈带娃，熬夜状态不佳</t>
    </r>
  </si>
  <si>
    <t xml:space="preserve">可以拍妈妈带娃，熬夜状态不佳</t>
  </si>
  <si>
    <t xml:space="preserve">达人内容能精准展现妈妈带娃、熬夜状态不佳的场景，与需求高度契合。</t>
  </si>
  <si>
    <t xml:space="preserve">52,3</t>
  </si>
  <si>
    <t xml:space="preserve">客户不推荐原因是重复提号，可能涉及流程或管理问题。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</si>
  <si>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为主，进店数据差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</si>
  <si>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为主，进店数据差</t>
    </r>
  </si>
  <si>
    <t xml:space="preserve">商单表现差</t>
  </si>
  <si>
    <r>
      <rPr>
        <sz val="11"/>
        <color rgb="FF000000"/>
        <rFont val="Noto Sans CJK SC"/>
        <family val="2"/>
      </rPr>
      <t xml:space="preserve">达人以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为主，且进店数据表现较差，不符合品牌需求。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</si>
  <si>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，数据表现一般</t>
    </r>
  </si>
  <si>
    <t xml:space="preserve">数据表现一般</t>
  </si>
  <si>
    <t xml:space="preserve">达人数据表现一般，未达到推荐标准。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</si>
  <si>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</si>
  <si>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</si>
  <si>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Noto Sans CJK SC"/>
        <family val="2"/>
      </rPr>
      <t xml:space="preserve">达人以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内容为主，不符合品牌推广需求。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</si>
  <si>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，贵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</si>
  <si>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Noto Sans CJK SC"/>
        <family val="2"/>
      </rPr>
      <t xml:space="preserve">贵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</si>
  <si>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t xml:space="preserve">合集种草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</si>
  <si>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数据不错，适合做护肤</t>
    </r>
    <r>
      <rPr>
        <sz val="11"/>
        <color rgb="FF000000"/>
        <rFont val="Calibri"/>
        <family val="2"/>
        <charset val="1"/>
      </rPr>
      <t xml:space="preserve">routine</t>
    </r>
  </si>
  <si>
    <r>
      <rPr>
        <sz val="11"/>
        <color rgb="FF000000"/>
        <rFont val="Noto Sans CJK SC"/>
        <family val="2"/>
      </rPr>
      <t xml:space="preserve">数据不错，适合做护肤</t>
    </r>
    <r>
      <rPr>
        <sz val="11"/>
        <color rgb="FF000000"/>
        <rFont val="Calibri"/>
        <family val="2"/>
        <charset val="1"/>
      </rPr>
      <t xml:space="preserve">routine</t>
    </r>
  </si>
  <si>
    <t xml:space="preserve">数据好</t>
  </si>
  <si>
    <r>
      <rPr>
        <sz val="11"/>
        <color rgb="FF000000"/>
        <rFont val="Noto Sans CJK SC"/>
        <family val="2"/>
      </rPr>
      <t xml:space="preserve">达人数据表现优秀，适合推广护肤</t>
    </r>
    <r>
      <rPr>
        <sz val="11"/>
        <color rgb="FF000000"/>
        <rFont val="Calibri"/>
        <family val="2"/>
        <charset val="1"/>
      </rPr>
      <t xml:space="preserve">routine</t>
    </r>
    <r>
      <rPr>
        <sz val="11"/>
        <color rgb="FF000000"/>
        <rFont val="Noto Sans CJK SC"/>
        <family val="2"/>
      </rPr>
      <t xml:space="preserve">内容。</t>
    </r>
  </si>
  <si>
    <t xml:space="preserve">T5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</si>
  <si>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情侣账号不合适</t>
    </r>
  </si>
  <si>
    <t xml:space="preserve">情侣账号不合适</t>
  </si>
  <si>
    <t xml:space="preserve">情侣账号不符合品牌调性或目标受众需求。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</si>
  <si>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，机构号，很摆拍</t>
    </r>
  </si>
  <si>
    <t xml:space="preserve">机构号，很摆拍</t>
  </si>
  <si>
    <t xml:space="preserve">该达人属于机构号，内容较摆拍，不够自然真实。</t>
  </si>
  <si>
    <t xml:space="preserve">客户未推荐，因重复提号不符合合作需求。</t>
  </si>
  <si>
    <t xml:space="preserve">客户未推荐，原因是重复提号，不符合合作需求。</t>
  </si>
  <si>
    <t xml:space="preserve">客户不推荐的原因是重复提号，未明确提及核心数据或内容问题。</t>
  </si>
  <si>
    <t xml:space="preserve">客户不推荐的原因是重复提号，可能与流程或管理相关。</t>
  </si>
  <si>
    <r>
      <rPr>
        <sz val="11"/>
        <color rgb="FF000000"/>
        <rFont val="Noto Sans CJK SC"/>
        <family val="2"/>
      </rPr>
      <t xml:space="preserve">明星角度，偷师女明星用维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，被生活掏空，也能养出超绝气血感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</si>
  <si>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，账号蹭过张元英，也分享零食美食。适合二者结合拍</t>
    </r>
  </si>
  <si>
    <t xml:space="preserve">账号蹭过张元英，也分享零食美食。适合二者结合拍</t>
  </si>
  <si>
    <t xml:space="preserve">账号蹭过张元英且分享零食美食，适合结合拍摄，内容匹配度高。</t>
  </si>
  <si>
    <t xml:space="preserve">信息不全，无法判断达人是否符合需求。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</si>
  <si>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总共就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篇笔记，更新频率低</t>
    </r>
  </si>
  <si>
    <r>
      <rPr>
        <sz val="11"/>
        <color rgb="FF000000"/>
        <rFont val="Noto Sans CJK SC"/>
        <family val="2"/>
      </rPr>
      <t xml:space="preserve">总共就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篇笔记，更新频率低</t>
    </r>
  </si>
  <si>
    <t xml:space="preserve">达人笔记数量少，更新频率低，可能影响持续曝光和推广效果。</t>
  </si>
  <si>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</t>
    </r>
  </si>
  <si>
    <t xml:space="preserve">报备视频</t>
  </si>
  <si>
    <t xml:space="preserve">双十一大促</t>
  </si>
  <si>
    <r>
      <rPr>
        <sz val="11"/>
        <color rgb="FF000000"/>
        <rFont val="Calibri"/>
        <family val="2"/>
        <charset val="1"/>
      </rPr>
      <t xml:space="preserve">LJQ</t>
    </r>
    <r>
      <rPr>
        <sz val="11"/>
        <color rgb="FF000000"/>
        <rFont val="Noto Sans CJK SC"/>
        <family val="2"/>
      </rPr>
      <t xml:space="preserve">开箱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</si>
  <si>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，粉丝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占比</t>
    </r>
    <r>
      <rPr>
        <sz val="11"/>
        <color rgb="FF000000"/>
        <rFont val="Calibri"/>
        <family val="2"/>
        <charset val="1"/>
      </rPr>
      <t xml:space="preserve">57%</t>
    </r>
    <r>
      <rPr>
        <sz val="11"/>
        <color rgb="FF000000"/>
        <rFont val="Noto Sans CJK SC"/>
        <family val="2"/>
      </rPr>
      <t xml:space="preserve">，近期开箱视频评论区</t>
    </r>
    <r>
      <rPr>
        <sz val="11"/>
        <color rgb="FF000000"/>
        <rFont val="Calibri"/>
        <family val="2"/>
        <charset val="1"/>
      </rPr>
      <t xml:space="preserve">1k+</t>
    </r>
  </si>
  <si>
    <r>
      <rPr>
        <sz val="11"/>
        <color rgb="FF000000"/>
        <rFont val="Noto Sans CJK SC"/>
        <family val="2"/>
      </rPr>
      <t xml:space="preserve">粉丝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占比</t>
    </r>
    <r>
      <rPr>
        <sz val="11"/>
        <color rgb="FF000000"/>
        <rFont val="Calibri"/>
        <family val="2"/>
        <charset val="1"/>
      </rPr>
      <t xml:space="preserve">57%</t>
    </r>
    <r>
      <rPr>
        <sz val="11"/>
        <color rgb="FF000000"/>
        <rFont val="Noto Sans CJK SC"/>
        <family val="2"/>
      </rPr>
      <t xml:space="preserve">，近期开箱视频评论区</t>
    </r>
    <r>
      <rPr>
        <sz val="11"/>
        <color rgb="FF000000"/>
        <rFont val="Calibri"/>
        <family val="2"/>
        <charset val="1"/>
      </rPr>
      <t xml:space="preserve">1k+</t>
    </r>
  </si>
  <si>
    <r>
      <rPr>
        <sz val="11"/>
        <color rgb="FF000000"/>
        <rFont val="Noto Sans CJK SC"/>
        <family val="2"/>
      </rPr>
      <t xml:space="preserve">粉丝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岁占比</t>
    </r>
    <r>
      <rPr>
        <sz val="11"/>
        <color rgb="FF000000"/>
        <rFont val="Calibri"/>
        <family val="2"/>
        <charset val="1"/>
      </rPr>
      <t xml:space="preserve">57%</t>
    </r>
    <r>
      <rPr>
        <sz val="11"/>
        <color rgb="FF000000"/>
        <rFont val="Noto Sans CJK SC"/>
        <family val="2"/>
      </rPr>
      <t xml:space="preserve">，与目标受众高度契合，近期开箱视频互动表现优秀。</t>
    </r>
  </si>
  <si>
    <t xml:space="preserve">客户未推荐，原因是重复提号，可能不符合当前需求。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</si>
  <si>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，贵 数据表现一般</t>
    </r>
  </si>
  <si>
    <t xml:space="preserve">贵 数据表现一般</t>
  </si>
  <si>
    <t xml:space="preserve">达人合作价格较高，且数据表现一般，性价比不足。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</si>
  <si>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粉丝群太小，消费力不足</t>
    </r>
  </si>
  <si>
    <t xml:space="preserve">粉丝群太小，消费力不足</t>
  </si>
  <si>
    <t xml:space="preserve">消费力弱</t>
  </si>
  <si>
    <t xml:space="preserve">粉丝群体较小且消费能力不足，可能影响推广效果。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</si>
  <si>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，没有合适的内容</t>
    </r>
  </si>
  <si>
    <t xml:space="preserve">没有合适的内容</t>
  </si>
  <si>
    <t xml:space="preserve">达人没有合适的内容来满足品牌需求。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</si>
  <si>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，主力粉丝群不合适，更适合淡斑精华</t>
    </r>
  </si>
  <si>
    <t xml:space="preserve">主力粉丝群不合适，更适合淡斑精华</t>
  </si>
  <si>
    <t xml:space="preserve">粉丝不匹配</t>
  </si>
  <si>
    <t xml:space="preserve">主力粉丝群体不适合，更偏向于淡斑精华类内容。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</si>
  <si>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</si>
  <si>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Noto Sans CJK SC"/>
        <family val="2"/>
      </rPr>
      <t xml:space="preserve">护肤</t>
    </r>
    <r>
      <rPr>
        <sz val="11"/>
        <color rgb="FF000000"/>
        <rFont val="Calibri"/>
        <family val="2"/>
        <charset val="1"/>
      </rPr>
      <t xml:space="preserve">routine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</si>
  <si>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ASMR</t>
    </r>
    <r>
      <rPr>
        <sz val="11"/>
        <color rgb="FF000000"/>
        <rFont val="Noto Sans CJK SC"/>
        <family val="2"/>
      </rPr>
      <t xml:space="preserve">沉浸式护肤，账号类型很适合展示质地</t>
    </r>
  </si>
  <si>
    <r>
      <rPr>
        <sz val="11"/>
        <color rgb="FF000000"/>
        <rFont val="Calibri"/>
        <family val="2"/>
        <charset val="1"/>
      </rPr>
      <t xml:space="preserve">ASMR</t>
    </r>
    <r>
      <rPr>
        <sz val="11"/>
        <color rgb="FF000000"/>
        <rFont val="Noto Sans CJK SC"/>
        <family val="2"/>
      </rPr>
      <t xml:space="preserve">沉浸式护肤，账号类型很适合展示质地</t>
    </r>
  </si>
  <si>
    <t xml:space="preserve">展示形式合适</t>
  </si>
  <si>
    <r>
      <rPr>
        <sz val="11"/>
        <color rgb="FF000000"/>
        <rFont val="Calibri"/>
        <family val="2"/>
        <charset val="1"/>
      </rPr>
      <t xml:space="preserve">ASMR</t>
    </r>
    <r>
      <rPr>
        <sz val="11"/>
        <color rgb="FF000000"/>
        <rFont val="Noto Sans CJK SC"/>
        <family val="2"/>
      </rPr>
      <t xml:space="preserve">沉浸式护肤内容与账号类型契合，能直观展现产品质地。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</si>
  <si>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月合作过</t>
    </r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</si>
  <si>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月合作过</t>
    </r>
  </si>
  <si>
    <r>
      <rPr>
        <sz val="11"/>
        <color rgb="FF000000"/>
        <rFont val="Noto Sans CJK SC"/>
        <family val="2"/>
      </rPr>
      <t xml:space="preserve">客户未推荐，原因是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月已合作过，暂无新推荐需求。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</si>
  <si>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，男粉多，粉丝年龄多在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</si>
  <si>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男粉多，粉丝年龄多在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</si>
  <si>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男粉多且粉丝年龄多在</t>
    </r>
    <r>
      <rPr>
        <sz val="11"/>
        <color rgb="FF000000"/>
        <rFont val="Calibri"/>
        <family val="2"/>
        <charset val="1"/>
      </rPr>
      <t xml:space="preserve">25+</t>
    </r>
    <r>
      <rPr>
        <sz val="11"/>
        <color rgb="FF000000"/>
        <rFont val="Noto Sans CJK SC"/>
        <family val="2"/>
      </rPr>
      <t xml:space="preserve">，与目标受众不符。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</si>
  <si>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，更适合淡斑抗老精华</t>
    </r>
  </si>
  <si>
    <t xml:space="preserve">更适合淡斑抗老精华</t>
  </si>
  <si>
    <t xml:space="preserve">达人内容更适合淡斑抗老精华，与当前需求不符。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</si>
  <si>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</si>
  <si>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数据一般，粉丝年龄多在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</si>
  <si>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数据一般，且粉丝年龄多在</t>
    </r>
    <r>
      <rPr>
        <sz val="11"/>
        <color rgb="FF000000"/>
        <rFont val="Calibri"/>
        <family val="2"/>
        <charset val="1"/>
      </rPr>
      <t xml:space="preserve">25+</t>
    </r>
    <r>
      <rPr>
        <sz val="11"/>
        <color rgb="FF000000"/>
        <rFont val="Noto Sans CJK SC"/>
        <family val="2"/>
      </rPr>
      <t xml:space="preserve">，与品牌目标受众不符。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</si>
  <si>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，主持人，进店数据非常好
好像更适合另外两款精华</t>
    </r>
  </si>
  <si>
    <t xml:space="preserve">主持人类型账号，内容与品牌需求不符，更适合其他产品。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</si>
  <si>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，粉丝年龄小</t>
    </r>
  </si>
  <si>
    <t xml:space="preserve">粉丝年龄小</t>
  </si>
  <si>
    <r>
      <rPr>
        <sz val="11"/>
        <color rgb="FF000000"/>
        <rFont val="Noto Sans CJK SC"/>
        <family val="2"/>
      </rPr>
      <t xml:space="preserve">该达人粉丝以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岁为主，年龄偏小，与品牌目标受众不匹配。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</si>
  <si>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为主，不符合品牌合作需求。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</si>
  <si>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 不真实</t>
    </r>
  </si>
  <si>
    <t xml:space="preserve">机构号 不真实</t>
  </si>
  <si>
    <t xml:space="preserve">客户认为该达人是机构号，内容缺乏真实性。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</si>
  <si>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，数据水 机构号</t>
    </r>
  </si>
  <si>
    <t xml:space="preserve">数据水 机构号</t>
  </si>
  <si>
    <t xml:space="preserve">数据表现不稳定，且为机构号，可能影响合作效果。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</si>
  <si>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，阅读数据不稳定</t>
    </r>
  </si>
  <si>
    <t xml:space="preserve">阅读数据不稳定</t>
  </si>
  <si>
    <t xml:space="preserve">阅读数据不稳定，影响推广效果。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</si>
  <si>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，数据不好 不合适</t>
    </r>
  </si>
  <si>
    <t xml:space="preserve">数据不好 不合适</t>
  </si>
  <si>
    <t xml:space="preserve">达人整体数据表现不佳，未达到推荐标准。</t>
  </si>
  <si>
    <t xml:space="preserve">客户认为该达人数据表现不佳且为机构号，不符合推荐标准。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</si>
  <si>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月底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月初</t>
    </r>
  </si>
  <si>
    <t xml:space="preserve">逆转口碑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</si>
  <si>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，进店数据还可以</t>
    </r>
  </si>
  <si>
    <t xml:space="preserve">进店数据还可以</t>
  </si>
  <si>
    <t xml:space="preserve">进店好</t>
  </si>
  <si>
    <t xml:space="preserve">达人合作笔记的外溢进店中位数表现较好，进店数据达到预期。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</si>
  <si>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</si>
  <si>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</si>
  <si>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为主，数据表现不稳定，影响推广效果。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</si>
  <si>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，摆拍机构号</t>
    </r>
  </si>
  <si>
    <t xml:space="preserve">摆拍机构号</t>
  </si>
  <si>
    <t xml:space="preserve">该达人属于摆拍机构号，可能影响内容真实性和用户信任度。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</si>
  <si>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，固定洗漱台分享好物，形式可以</t>
    </r>
  </si>
  <si>
    <t xml:space="preserve">固定洗漱台分享好物，形式可以</t>
  </si>
  <si>
    <t xml:space="preserve">固定洗漱台分享好物的形式契合品牌推广需求。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</si>
  <si>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，账号很有风格，很适合沉浸式护肤</t>
    </r>
  </si>
  <si>
    <t xml:space="preserve">账号很有风格，很适合沉浸式护肤</t>
  </si>
  <si>
    <t xml:space="preserve">风格匹配</t>
  </si>
  <si>
    <t xml:space="preserve">账号风格独特，非常适合沉浸式护肤内容的表达。</t>
  </si>
  <si>
    <t xml:space="preserve">客户未提供明确原因，可能由于数据或信息不足导致不推荐。</t>
  </si>
  <si>
    <r>
      <rPr>
        <sz val="11"/>
        <color rgb="FF000000"/>
        <rFont val="Calibri"/>
        <family val="2"/>
        <charset val="1"/>
      </rPr>
      <t xml:space="preserve">N,vlog</t>
    </r>
    <r>
      <rPr>
        <sz val="11"/>
        <color rgb="FF000000"/>
        <rFont val="Noto Sans CJK SC"/>
        <family val="2"/>
      </rPr>
      <t xml:space="preserve">为主 阅读数据不好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</si>
  <si>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 阅读数据不好</t>
    </r>
  </si>
  <si>
    <r>
      <rPr>
        <sz val="11"/>
        <color rgb="FF000000"/>
        <rFont val="Noto Sans CJK SC"/>
        <family val="2"/>
      </rPr>
      <t xml:space="preserve">达人以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为主，阅读数据表现不佳，影响推广效果。</t>
    </r>
  </si>
  <si>
    <t xml:space="preserve">熬夜累丑场景种草</t>
  </si>
  <si>
    <r>
      <rPr>
        <sz val="11"/>
        <color rgb="FF000000"/>
        <rFont val="Noto Sans CJK SC"/>
        <family val="2"/>
      </rPr>
      <t xml:space="preserve">大学老师身份，全英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讲产品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</si>
  <si>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，自带人设身份，可以有熬夜场景，但还是以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</si>
  <si>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为主，数据表现不稳定，影响投放效果。</t>
    </r>
  </si>
  <si>
    <r>
      <rPr>
        <sz val="11"/>
        <color rgb="FF000000"/>
        <rFont val="Calibri"/>
        <family val="2"/>
        <charset val="1"/>
      </rPr>
      <t xml:space="preserve">Combo</t>
    </r>
    <r>
      <rPr>
        <sz val="11"/>
        <color rgb="FF000000"/>
        <rFont val="Noto Sans CJK SC"/>
        <family val="2"/>
      </rPr>
      <t xml:space="preserve">合集种草</t>
    </r>
  </si>
  <si>
    <r>
      <rPr>
        <sz val="11"/>
        <color rgb="FF000000"/>
        <rFont val="Calibri"/>
        <family val="2"/>
        <charset val="1"/>
      </rPr>
      <t xml:space="preserve">D11</t>
    </r>
    <r>
      <rPr>
        <sz val="11"/>
        <color rgb="FF000000"/>
        <rFont val="Noto Sans CJK SC"/>
        <family val="2"/>
      </rPr>
      <t xml:space="preserve">爆品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</si>
  <si>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，车内拍摄产品 进店数据不错，但有点精致摆拍感，可以做一下爆品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</si>
  <si>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Noto Sans CJK SC"/>
        <family val="2"/>
      </rPr>
      <t xml:space="preserve">车内拍摄产品 进店数据不错，但有点精致摆拍感，可以做一下爆品</t>
    </r>
    <r>
      <rPr>
        <sz val="11"/>
        <color rgb="FF000000"/>
        <rFont val="Calibri"/>
        <family val="2"/>
        <charset val="1"/>
      </rPr>
      <t xml:space="preserve">combo</t>
    </r>
  </si>
  <si>
    <t xml:space="preserve">达人内容展示形式适合，且外溢进店数据表现良好。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</si>
  <si>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，账号类型可以，但进店数很差</t>
    </r>
  </si>
  <si>
    <t xml:space="preserve">账号类型可以，但进店数很差</t>
  </si>
  <si>
    <t xml:space="preserve">账号类型合适，但进店数表现差，影响推广效果。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</si>
  <si>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，电影感</t>
    </r>
    <r>
      <rPr>
        <sz val="11"/>
        <color rgb="FF000000"/>
        <rFont val="Calibri"/>
        <family val="2"/>
        <charset val="1"/>
      </rPr>
      <t xml:space="preserve">vlog </t>
    </r>
    <r>
      <rPr>
        <sz val="11"/>
        <color rgb="FF000000"/>
        <rFont val="Noto Sans CJK SC"/>
        <family val="2"/>
      </rPr>
      <t xml:space="preserve">不适合我们产品</t>
    </r>
  </si>
  <si>
    <r>
      <rPr>
        <sz val="11"/>
        <color rgb="FF000000"/>
        <rFont val="Noto Sans CJK SC"/>
        <family val="2"/>
      </rPr>
      <t xml:space="preserve">电影感</t>
    </r>
    <r>
      <rPr>
        <sz val="11"/>
        <color rgb="FF000000"/>
        <rFont val="Calibri"/>
        <family val="2"/>
        <charset val="1"/>
      </rPr>
      <t xml:space="preserve">vlog </t>
    </r>
    <r>
      <rPr>
        <sz val="11"/>
        <color rgb="FF000000"/>
        <rFont val="Noto Sans CJK SC"/>
        <family val="2"/>
      </rPr>
      <t xml:space="preserve">不适合我们产品</t>
    </r>
  </si>
  <si>
    <r>
      <rPr>
        <sz val="11"/>
        <color rgb="FF000000"/>
        <rFont val="Noto Sans CJK SC"/>
        <family val="2"/>
      </rPr>
      <t xml:space="preserve">电影感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风格与我们产品不匹配，无法有效推广。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</si>
  <si>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，阅读数据很一般</t>
    </r>
  </si>
  <si>
    <t xml:space="preserve">阅读数据很一般</t>
  </si>
  <si>
    <t xml:space="preserve">达人合作笔记的阅读数据表现一般，未达到预期效果。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</si>
  <si>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账号，接的合作数据都很稳定，近期刚发的娇韵诗也不错，可以自然带肌肤糖优化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熬夜累丑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</si>
  <si>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账号，接的合作数据都很稳定，近期刚发的娇韵诗也不错，可以自然带肌肤糖优化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熬夜累丑</t>
    </r>
  </si>
  <si>
    <r>
      <rPr>
        <sz val="11"/>
        <color rgb="FF000000"/>
        <rFont val="Noto Sans CJK SC"/>
        <family val="2"/>
      </rPr>
      <t xml:space="preserve">该达人为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类型账号，与图文内容需求不符。</t>
    </r>
  </si>
  <si>
    <t xml:space="preserve">阅读数据不稳定，导致合作效果难以预测。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</si>
  <si>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，不露脸讲质地的好物账号，不合适</t>
    </r>
  </si>
  <si>
    <t xml:space="preserve">不露脸讲质地的好物账号，不合适</t>
  </si>
  <si>
    <t xml:space="preserve">不露脸讲质地的好物账号，形式不符合品牌需求。</t>
  </si>
  <si>
    <t xml:space="preserve">肌肤焦糖化</t>
  </si>
  <si>
    <t xml:space="preserve">焦糖化教育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</si>
  <si>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，变美账号，数据表现都不错，可以从焦糖化教育讲怎么变美</t>
    </r>
  </si>
  <si>
    <t xml:space="preserve">变美账号，数据表现都不错，可以从焦糖化教育讲怎么变美</t>
  </si>
  <si>
    <t xml:space="preserve">达人变美账号定位与焦糖化教育内容高度契合，数据表现优秀。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</si>
  <si>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，外企打工人设</t>
    </r>
  </si>
  <si>
    <t xml:space="preserve">外企打工人设</t>
  </si>
  <si>
    <t xml:space="preserve">人设契合</t>
  </si>
  <si>
    <t xml:space="preserve">达人外企打工人设符合品牌目标受众形象，能有效吸引相关用户关注。</t>
  </si>
  <si>
    <t xml:space="preserve">没有合适的内容，无法满足品牌推广需求。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</si>
  <si>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，机构账号 太假</t>
    </r>
  </si>
  <si>
    <t xml:space="preserve">机构账号 太假</t>
  </si>
  <si>
    <t xml:space="preserve">该达人为机构账号，内容真实性存疑，客户认为太假。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</si>
  <si>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000000"/>
        <rFont val="Noto Sans CJK SC"/>
        <family val="2"/>
      </rPr>
      <t xml:space="preserve">后学习型账号，之前粉笔教育数据，阅读数据好。适合植入考公也要注意美白护肤</t>
    </r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</si>
  <si>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000000"/>
        <rFont val="Noto Sans CJK SC"/>
        <family val="2"/>
      </rPr>
      <t xml:space="preserve">后学习型账号，之前粉笔教育数据，阅读数据好。适合植入考公也要注意美白护肤</t>
    </r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</si>
  <si>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000000"/>
        <rFont val="Noto Sans CJK SC"/>
        <family val="2"/>
      </rPr>
      <t xml:space="preserve">后学习型账号，阅读数据优秀，适合考公与护肤结合的内容植入。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</si>
  <si>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，一人分饰多角剧情号</t>
    </r>
  </si>
  <si>
    <t xml:space="preserve">一人分饰多角剧情号</t>
  </si>
  <si>
    <t xml:space="preserve">达人以一人分饰多角剧情为主，不符合品牌内容需求。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</si>
  <si>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，情侣剧情号不要了</t>
    </r>
  </si>
  <si>
    <t xml:space="preserve">情侣剧情号不要了</t>
  </si>
  <si>
    <t xml:space="preserve">情侣剧情号不符合品牌需求，因此不推荐。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</si>
  <si>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</t>
    </r>
  </si>
  <si>
    <t xml:space="preserve">该达人属于机构号，可能缺乏个人特色或真实粉丝互动。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</si>
  <si>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三人剧情号，可拍三人用完后的不同感受</t>
    </r>
  </si>
  <si>
    <t xml:space="preserve">三人剧情号，可拍三人用完后的不同感受</t>
  </si>
  <si>
    <t xml:space="preserve">剧情植入适合</t>
  </si>
  <si>
    <t xml:space="preserve">三人剧情号，可拍三人用完后的不同感受，适合剧情植入。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</si>
  <si>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，家居博主</t>
    </r>
  </si>
  <si>
    <t xml:space="preserve">家居博主</t>
  </si>
  <si>
    <t xml:space="preserve">家居博主的账号类型与品牌需求不符。</t>
  </si>
  <si>
    <t xml:space="preserve">达人阅读数据表现不稳定，影响投放效果。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</si>
  <si>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，互动数据不好</t>
    </r>
  </si>
  <si>
    <t xml:space="preserve">互动数据不好</t>
  </si>
  <si>
    <t xml:space="preserve">互动数据表现不佳，影响推广效果。</t>
  </si>
  <si>
    <r>
      <rPr>
        <sz val="11"/>
        <color rgb="FF000000"/>
        <rFont val="Noto Sans CJK SC"/>
        <family val="2"/>
      </rPr>
      <t xml:space="preserve">达人以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内容为主，与品牌需求不匹配。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</si>
  <si>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，阅读数据不好</t>
    </r>
  </si>
  <si>
    <t xml:space="preserve">阅读数据不好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</si>
  <si>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，合作笔记表现一般</t>
    </r>
  </si>
  <si>
    <t xml:space="preserve">合作笔记表现一般</t>
  </si>
  <si>
    <t xml:space="preserve">合作笔记表现一般，未达到预期效果。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</si>
  <si>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，阅读数太差了</t>
    </r>
  </si>
  <si>
    <t xml:space="preserve">阅读数太差了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</si>
  <si>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2907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</si>
  <si>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，进店数据差</t>
    </r>
  </si>
  <si>
    <t xml:space="preserve">进店数据差</t>
  </si>
  <si>
    <t xml:space="preserve">客户不推荐该达人，因其合作笔记的进店数据表现较差。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</si>
  <si>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，以前伦敦金融城人设不错，但现在回国了</t>
    </r>
  </si>
  <si>
    <t xml:space="preserve">以前伦敦金融城人设不错，但现在回国了</t>
  </si>
  <si>
    <t xml:space="preserve">人设不符</t>
  </si>
  <si>
    <t xml:space="preserve">达人原本伦敦金融城人设吸引人，但回国后人设不再符合预期。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</si>
  <si>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，合作护肤评论数据不好</t>
    </r>
  </si>
  <si>
    <t xml:space="preserve">合作护肤评论数据不好</t>
  </si>
  <si>
    <t xml:space="preserve">合作护肤评论数据表现不佳，影响推广效果。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</si>
  <si>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，彩妆号 评论数据一般</t>
    </r>
  </si>
  <si>
    <t xml:space="preserve">彩妆号 评论数据一般</t>
  </si>
  <si>
    <t xml:space="preserve">该达人是彩妆号，评论数据一般，可能影响推广效果。</t>
  </si>
  <si>
    <t xml:space="preserve">达人没有合适的内容满足品牌需求。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</si>
  <si>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，彩妆号 数据一般</t>
    </r>
  </si>
  <si>
    <t xml:space="preserve">彩妆号 数据一般</t>
  </si>
  <si>
    <t xml:space="preserve">达人属于彩妆号，数据表现一般，不符合品牌需求。</t>
  </si>
  <si>
    <t xml:space="preserve">达人属于彩妆号，数据表现一般，可能不符合品牌需求。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</si>
  <si>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，合作过妮维雅 评论数据不好</t>
    </r>
  </si>
  <si>
    <t xml:space="preserve">合作过妮维雅 评论数据不好</t>
  </si>
  <si>
    <t xml:space="preserve">合作过妮维雅，评论数据表现不佳，影响推荐。</t>
  </si>
  <si>
    <t xml:space="preserve">阅读数据不稳定，影响内容推广效果。</t>
  </si>
  <si>
    <t xml:space="preserve">客户不推荐的原因是重复提号，可能涉及流程或管理问题。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</si>
  <si>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</si>
  <si>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 数据一般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</si>
  <si>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 数据一般</t>
    </r>
  </si>
  <si>
    <r>
      <rPr>
        <sz val="11"/>
        <color rgb="FF000000"/>
        <rFont val="Noto Sans CJK SC"/>
        <family val="2"/>
      </rPr>
      <t xml:space="preserve">达人内容以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为主，数据表现一般，不符合需求。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</si>
  <si>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，进店数据不好</t>
    </r>
  </si>
  <si>
    <t xml:space="preserve">进店数据不好</t>
  </si>
  <si>
    <t xml:space="preserve">进店数据表现不佳，未能达到预期效果。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</si>
  <si>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阅读互动都不错，可拍古法养生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小白瓶 </t>
    </r>
    <r>
      <rPr>
        <sz val="11"/>
        <color rgb="FF000000"/>
        <rFont val="Calibri"/>
        <family val="2"/>
        <charset val="1"/>
      </rPr>
      <t xml:space="preserve">1+1</t>
    </r>
    <r>
      <rPr>
        <sz val="11"/>
        <color rgb="FF000000"/>
        <rFont val="Noto Sans CJK SC"/>
        <family val="2"/>
      </rPr>
      <t xml:space="preserve">大于二的效果</t>
    </r>
  </si>
  <si>
    <r>
      <rPr>
        <sz val="11"/>
        <color rgb="FF000000"/>
        <rFont val="Noto Sans CJK SC"/>
        <family val="2"/>
      </rPr>
      <t xml:space="preserve">阅读互动都不错，可拍古法养生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小白瓶 </t>
    </r>
    <r>
      <rPr>
        <sz val="11"/>
        <color rgb="FF000000"/>
        <rFont val="Calibri"/>
        <family val="2"/>
        <charset val="1"/>
      </rPr>
      <t xml:space="preserve">1+1</t>
    </r>
    <r>
      <rPr>
        <sz val="11"/>
        <color rgb="FF000000"/>
        <rFont val="Noto Sans CJK SC"/>
        <family val="2"/>
      </rPr>
      <t xml:space="preserve">大于二的效果</t>
    </r>
  </si>
  <si>
    <t xml:space="preserve">阅读互动强</t>
  </si>
  <si>
    <t xml:space="preserve">达人笔记阅读互动表现优秀，能有效提升内容传播和用户参与。</t>
  </si>
  <si>
    <t xml:space="preserve">KCP Content</t>
  </si>
  <si>
    <t xml:space="preserve">李佳琦机制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</si>
  <si>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，进店数据不错，可以发优惠和产品结合</t>
    </r>
  </si>
  <si>
    <t xml:space="preserve">进店数据不错，可以发优惠和产品结合</t>
  </si>
  <si>
    <t xml:space="preserve">达人进店数据优秀，能有效结合优惠与产品推广。</t>
  </si>
  <si>
    <t xml:space="preserve">没有合适的内容来满足品牌推广需求。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</si>
  <si>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，教手机拍照的图文好，进店数很好，可以试试 价格合适</t>
    </r>
  </si>
  <si>
    <t xml:space="preserve">教手机拍照的图文好，进店数很好，可以试试 价格合适</t>
  </si>
  <si>
    <t xml:space="preserve">达人内容展示形式合适，且外溢进店数据表现优秀。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</si>
  <si>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，阅读不好</t>
    </r>
  </si>
  <si>
    <t xml:space="preserve">阅读不好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</si>
  <si>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1153</t>
    </r>
    <r>
      <rPr>
        <sz val="11"/>
        <color rgb="FF000000"/>
        <rFont val="Noto Sans CJK SC"/>
        <family val="2"/>
      </rPr>
      <t xml:space="preserve">，数据表现较差。</t>
    </r>
  </si>
  <si>
    <t xml:space="preserve">肌肤焦糖化场景种草</t>
  </si>
  <si>
    <r>
      <rPr>
        <sz val="11"/>
        <color rgb="FF000000"/>
        <rFont val="Calibri"/>
        <family val="2"/>
        <charset val="1"/>
      </rPr>
      <t xml:space="preserve">TBD,</t>
    </r>
    <r>
      <rPr>
        <sz val="11"/>
        <color rgb="FF000000"/>
        <rFont val="Noto Sans CJK SC"/>
        <family val="2"/>
      </rPr>
      <t xml:space="preserve">阅读稳定 进店数据好，合作过护肤，可以试试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</si>
  <si>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，阅读稳定 进店数据好，合作过护肤，可以试试</t>
    </r>
  </si>
  <si>
    <t xml:space="preserve">客户未明确说明不推荐原因，但提到阅读稳定、进店数据好，可尝试合作。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</si>
  <si>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，评论数据挺好的，爱发好物分享 长相也适合 这种我们考虑嘛</t>
    </r>
  </si>
  <si>
    <t xml:space="preserve">客户未明确说明不推荐原因，仅提及考虑因素但未最终确认。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</si>
  <si>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，阅读数据稳定，进店数据可以</t>
    </r>
  </si>
  <si>
    <t xml:space="preserve">阅读数据稳定，进店数据可以</t>
  </si>
  <si>
    <t xml:space="preserve">达人阅读数据稳定且外溢进店中位数较高，能有效带动转化。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</si>
  <si>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评论数据一般</t>
    </r>
  </si>
  <si>
    <t xml:space="preserve">评论数据一般</t>
  </si>
  <si>
    <t xml:space="preserve">评论数据一般，整体互动表现不佳。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</si>
  <si>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，进店数太差</t>
    </r>
  </si>
  <si>
    <t xml:space="preserve">进店数太差</t>
  </si>
  <si>
    <r>
      <rPr>
        <sz val="11"/>
        <color rgb="FF000000"/>
        <rFont val="Noto Sans CJK SC"/>
        <family val="2"/>
      </rPr>
      <t xml:space="preserve">达人合作笔记的外溢进店中位数仅为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</si>
  <si>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，阅读点赞都不错 可以拍初代同事
</t>
    </r>
    <r>
      <rPr>
        <sz val="11"/>
        <color rgb="FF000000"/>
        <rFont val="Calibri"/>
        <family val="2"/>
        <charset val="1"/>
      </rPr>
      <t xml:space="preserve">https://www.xiaohongshu.com/explore/68a3def9000000001d038428?xsec_token=ABsNku1gRYNpHgwVlKqXLdv8xT7cOtjDK0WJN5QnSK3tE=&amp;xsec_source=pc_user&amp;source=web_user_page</t>
    </r>
  </si>
  <si>
    <r>
      <rPr>
        <sz val="11"/>
        <color rgb="FF000000"/>
        <rFont val="Noto Sans CJK SC"/>
        <family val="2"/>
      </rPr>
      <t xml:space="preserve">阅读点赞都不错 可以拍初代同事
</t>
    </r>
    <r>
      <rPr>
        <sz val="11"/>
        <color rgb="FF000000"/>
        <rFont val="Calibri"/>
        <family val="2"/>
        <charset val="1"/>
      </rPr>
      <t xml:space="preserve">https://www.xiaohongshu.com/explore/68a3def9000000001d038428?xsec_token=ABsNku1gRYNpHgwVlKqXLdv8xT7cOtjDK0WJN5QnSK3tE=&amp;xsec_source=pc_user&amp;source=web_user_page</t>
    </r>
  </si>
  <si>
    <t xml:space="preserve">达人笔记的阅读和点赞数据优秀，具备较强的互动能力。</t>
  </si>
  <si>
    <t xml:space="preserve">达人没有符合品牌需求的内容创意或风格。</t>
  </si>
  <si>
    <t xml:space="preserve">客户不推荐的原因是重复提号，可能不符合当前需求。</t>
  </si>
  <si>
    <t xml:space="preserve">客户不推荐原因是重复提号，可能与流程或管理相关。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</si>
  <si>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-10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日，曼谷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普吉岛
感受海岛风光🏝️情侣打卡实测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</si>
  <si>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，有出行计划</t>
    </r>
  </si>
  <si>
    <t xml:space="preserve">客户未明确说明不推荐原因，仅标注有出行计划。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</si>
  <si>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，阅读不稳定</t>
    </r>
  </si>
  <si>
    <t xml:space="preserve">阅读不稳定</t>
  </si>
  <si>
    <t xml:space="preserve">达人合作笔记的阅读数据波动较大，表现不稳定。</t>
  </si>
  <si>
    <t xml:space="preserve">客户不推荐的原因是重复提号，不符合合作需求。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</si>
  <si>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，刚合作</t>
    </r>
  </si>
  <si>
    <t xml:space="preserve">刚合作</t>
  </si>
  <si>
    <t xml:space="preserve">客户不推荐的原因是刚合作，可能希望避免短期内重复合作。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</si>
  <si>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，数据好，进店特别好！</t>
    </r>
  </si>
  <si>
    <t xml:space="preserve">数据好，进店特别好！</t>
  </si>
  <si>
    <t xml:space="preserve">达人合作笔记外溢进店中位数表现优异，带来显著的店铺流量。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</si>
  <si>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，合作数据一般</t>
    </r>
  </si>
  <si>
    <t xml:space="preserve">合作数据一般</t>
  </si>
  <si>
    <t xml:space="preserve">合作数据表现一般，未达到预期效果。</t>
  </si>
  <si>
    <t xml:space="preserve">达人合作笔记的阅读数波动较大，数据表现不稳定。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</si>
  <si>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</t>
    </r>
  </si>
  <si>
    <t xml:space="preserve">粉丝年龄层偏大</t>
  </si>
  <si>
    <t xml:space="preserve">达人粉丝年龄层偏大，与品牌目标受众不匹配。</t>
  </si>
  <si>
    <t xml:space="preserve">达人合作笔记外溢进店中位数表现优异，数据突出。</t>
  </si>
  <si>
    <t xml:space="preserve">客户不推荐的原因是重复提号，未提供具体数据或内容问题。</t>
  </si>
  <si>
    <t xml:space="preserve">达人合作笔记的阅读量波动较大，数据表现不稳定。</t>
  </si>
  <si>
    <t xml:space="preserve">客户未提供明确信息，无法判断达人是否符合需求。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</si>
  <si>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，内容差</t>
    </r>
  </si>
  <si>
    <t xml:space="preserve">内容差</t>
  </si>
  <si>
    <t xml:space="preserve">客户认为该达人内容质量较差，不符合要求。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</si>
  <si>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水号，近期内容一般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</si>
  <si>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水号，近期内容一般</t>
    </r>
  </si>
  <si>
    <r>
      <rPr>
        <sz val="11"/>
        <color rgb="FF000000"/>
        <rFont val="Noto Sans CJK SC"/>
        <family val="2"/>
      </rPr>
      <t xml:space="preserve">该达人近期内容质量一般，被标记为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</si>
  <si>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，内容一般</t>
    </r>
  </si>
  <si>
    <t xml:space="preserve">客户认为该达人内容质量一般，缺乏吸引力。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</si>
  <si>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，图文博主，建议先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月图文内容</t>
    </r>
  </si>
  <si>
    <r>
      <rPr>
        <sz val="11"/>
        <color rgb="FF000000"/>
        <rFont val="Noto Sans CJK SC"/>
        <family val="2"/>
      </rPr>
      <t xml:space="preserve">图文博主，建议先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月图文内容</t>
    </r>
  </si>
  <si>
    <r>
      <rPr>
        <sz val="11"/>
        <color rgb="FF000000"/>
        <rFont val="Noto Sans CJK SC"/>
        <family val="2"/>
      </rPr>
      <t xml:space="preserve">图文博主，建议先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月图文内容，符合品牌需求。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</si>
  <si>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</si>
  <si>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</t>
    </r>
  </si>
  <si>
    <r>
      <rPr>
        <sz val="11"/>
        <color rgb="FF000000"/>
        <rFont val="Noto Sans CJK SC"/>
        <family val="2"/>
      </rPr>
      <t xml:space="preserve">该达人被标记为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水号，内容质量较低，不推荐合作。</t>
    </r>
  </si>
  <si>
    <r>
      <rPr>
        <sz val="11"/>
        <color rgb="FF000000"/>
        <rFont val="Noto Sans CJK SC"/>
        <family val="2"/>
      </rPr>
      <t xml:space="preserve">该达人被标记为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水号，内容质量较低，不值得推荐。</t>
    </r>
  </si>
  <si>
    <r>
      <rPr>
        <sz val="11"/>
        <color rgb="FF000000"/>
        <rFont val="Noto Sans CJK SC"/>
        <family val="2"/>
      </rPr>
      <t xml:space="preserve">该达人被标记为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水号，内容质量较低，数据表现不佳。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</si>
  <si>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，合作笔记少</t>
    </r>
  </si>
  <si>
    <t xml:space="preserve">合作笔记少</t>
  </si>
  <si>
    <t xml:space="preserve">合作笔记少，导致数据表现不稳定，无法准确评估效果。</t>
  </si>
  <si>
    <r>
      <rPr>
        <sz val="11"/>
        <color rgb="FF000000"/>
        <rFont val="Noto Sans CJK SC"/>
        <family val="2"/>
      </rPr>
      <t xml:space="preserve">该达人被标记为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水号，内容质量可能较低。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</si>
  <si>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，之前有合作过，精致图文风博主</t>
    </r>
  </si>
  <si>
    <t xml:space="preserve">客户未明确说明不推荐原因，仅标注为精致图文风博主。</t>
  </si>
  <si>
    <t xml:space="preserve">建议做成旅途翻包形式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</si>
  <si>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，可以做旅途翻包</t>
    </r>
    <r>
      <rPr>
        <sz val="11"/>
        <color rgb="FF000000"/>
        <rFont val="Calibri"/>
        <family val="2"/>
        <charset val="1"/>
      </rPr>
      <t xml:space="preserve">tie</t>
    </r>
    <r>
      <rPr>
        <sz val="11"/>
        <color rgb="FF000000"/>
        <rFont val="Noto Sans CJK SC"/>
        <family val="2"/>
      </rPr>
      <t xml:space="preserve">国庆旅行</t>
    </r>
  </si>
  <si>
    <r>
      <rPr>
        <sz val="11"/>
        <color rgb="FF000000"/>
        <rFont val="Noto Sans CJK SC"/>
        <family val="2"/>
      </rPr>
      <t xml:space="preserve">可以做旅途翻包</t>
    </r>
    <r>
      <rPr>
        <sz val="11"/>
        <color rgb="FF000000"/>
        <rFont val="Calibri"/>
        <family val="2"/>
        <charset val="1"/>
      </rPr>
      <t xml:space="preserve">tie</t>
    </r>
    <r>
      <rPr>
        <sz val="11"/>
        <color rgb="FF000000"/>
        <rFont val="Noto Sans CJK SC"/>
        <family val="2"/>
      </rPr>
      <t xml:space="preserve">国庆旅行</t>
    </r>
  </si>
  <si>
    <t xml:space="preserve">达人内容创意与品牌需求契合，旅途翻包形式贴合国庆旅行热点。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</si>
  <si>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，数据差</t>
    </r>
  </si>
  <si>
    <t xml:space="preserve">该达人各项数据表现不佳，未达到推荐标准。</t>
  </si>
  <si>
    <t xml:space="preserve">达人各项数据表现均不理想，未达到推荐标准。</t>
  </si>
  <si>
    <t xml:space="preserve">客户认为达人内容质量一般，缺乏吸引力。</t>
  </si>
  <si>
    <t xml:space="preserve">客户认为达人内容质量一般，未达到预期。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</si>
  <si>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，发布频次低</t>
    </r>
  </si>
  <si>
    <t xml:space="preserve">发布频次低</t>
  </si>
  <si>
    <t xml:space="preserve">达人发布频次低，影响内容持续曝光和合作效果。</t>
  </si>
  <si>
    <r>
      <rPr>
        <sz val="11"/>
        <color rgb="FF000000"/>
        <rFont val="Calibri"/>
        <family val="2"/>
        <charset val="1"/>
      </rPr>
      <t xml:space="preserve">HTU/</t>
    </r>
    <r>
      <rPr>
        <sz val="11"/>
        <color rgb="FF000000"/>
        <rFont val="Noto Sans CJK SC"/>
        <family val="2"/>
      </rPr>
      <t xml:space="preserve">新旧对比</t>
    </r>
    <r>
      <rPr>
        <sz val="11"/>
        <color rgb="FF000000"/>
        <rFont val="Calibri"/>
        <family val="2"/>
        <charset val="1"/>
      </rPr>
      <t xml:space="preserve">/SEM</t>
    </r>
  </si>
  <si>
    <t xml:space="preserve">新旧对比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</si>
  <si>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，拍摄封面挺有特色</t>
    </r>
  </si>
  <si>
    <t xml:space="preserve">拍摄封面挺有特色</t>
  </si>
  <si>
    <t xml:space="preserve">达人拍摄封面有特色，展示形式吸引人。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</si>
  <si>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，合作数据评论太差</t>
    </r>
  </si>
  <si>
    <t xml:space="preserve">合作数据评论太差</t>
  </si>
  <si>
    <t xml:space="preserve">合作笔记的评论数据表现太差，影响整体效果。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</si>
  <si>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，阅读太差了</t>
    </r>
  </si>
  <si>
    <t xml:space="preserve">阅读太差了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</si>
  <si>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1147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</si>
  <si>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，进店一般 合作两条护肤数据还可以，适合展示产品使用质地之类的</t>
    </r>
  </si>
  <si>
    <t xml:space="preserve">虽然护肤数据尚可，但整体进店转化一般，商业合作效果不突出。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</si>
  <si>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，粉丝年龄层不合适</t>
    </r>
  </si>
  <si>
    <t xml:space="preserve">粉丝年龄层不合适</t>
  </si>
  <si>
    <r>
      <rPr>
        <sz val="11"/>
        <color rgb="FF000000"/>
        <rFont val="Noto Sans CJK SC"/>
        <family val="2"/>
      </rPr>
      <t xml:space="preserve">粉丝中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岁占比过高，与品牌目标受众年龄层不符。</t>
    </r>
  </si>
  <si>
    <t xml:space="preserve">双十一好物分享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</si>
  <si>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，适合做学生党双十一必买清单推荐</t>
    </r>
  </si>
  <si>
    <t xml:space="preserve">适合做学生党双十一必买清单推荐</t>
  </si>
  <si>
    <t xml:space="preserve">达人内容适合推荐学生党双十一必买清单，符合目标受众需求。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</si>
  <si>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，数据太假了</t>
    </r>
  </si>
  <si>
    <t xml:space="preserve">数据太假了</t>
  </si>
  <si>
    <t xml:space="preserve">客户认为该达人数据表现不真实，存在虚假成分。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</si>
  <si>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5407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</si>
  <si>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1630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</si>
  <si>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月已经合作了</t>
    </r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</si>
  <si>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月已经合作了</t>
    </r>
  </si>
  <si>
    <r>
      <rPr>
        <sz val="11"/>
        <color rgb="FF000000"/>
        <rFont val="Noto Sans CJK SC"/>
        <family val="2"/>
      </rPr>
      <t xml:space="preserve">客户因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月已合作过而不推荐，属于时间间隔问题。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</si>
  <si>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合作阅读数据差</t>
    </r>
  </si>
  <si>
    <t xml:space="preserve">合作阅读数据差</t>
  </si>
  <si>
    <t xml:space="preserve">合作笔记的阅读数据表现较差，未达到预期效果。</t>
  </si>
  <si>
    <t xml:space="preserve">重复提号，客户未明确具体原因，可能与流程或内部决策相关。</t>
  </si>
  <si>
    <t xml:space="preserve">重复提号，客户未明确具体原因，可能与流程或管理相关。</t>
  </si>
  <si>
    <t xml:space="preserve">信息不全，无法判断达人是否符合要求。</t>
  </si>
  <si>
    <t xml:space="preserve">客户未推荐，可能由于重复提号或其他未明确因素导致。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</si>
  <si>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，合作阅读不稳定</t>
    </r>
  </si>
  <si>
    <t xml:space="preserve">合作阅读不稳定</t>
  </si>
  <si>
    <t xml:space="preserve">合作阅读数据波动较大，表现不稳定。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</si>
  <si>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，拍照账号 不适合植入</t>
    </r>
  </si>
  <si>
    <t xml:space="preserve">拍照账号 不适合植入</t>
  </si>
  <si>
    <t xml:space="preserve">拍照账号不适合植入，与品牌需求不符。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</si>
  <si>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，合作的护肤，数据都一般</t>
    </r>
  </si>
  <si>
    <t xml:space="preserve">合作的护肤，数据都一般</t>
  </si>
  <si>
    <t xml:space="preserve">合作的护肤内容数据表现一般，未达到预期效果。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</si>
  <si>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，阅读贵进店贵</t>
    </r>
  </si>
  <si>
    <t xml:space="preserve">阅读贵进店贵</t>
  </si>
  <si>
    <t xml:space="preserve">客户认为该达人阅读和进店成本过高，性价比不足。</t>
  </si>
  <si>
    <r>
      <rPr>
        <sz val="11"/>
        <color rgb="FF000000"/>
        <rFont val="Noto Sans CJK SC"/>
        <family val="2"/>
      </rPr>
      <t xml:space="preserve">达人粉丝主要为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岁，年龄偏小，与品牌目标受众不符。</t>
    </r>
  </si>
  <si>
    <t xml:space="preserve">重复提号，未明确具体问题，但客户不推荐合作。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</si>
  <si>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，假号 评论水</t>
    </r>
  </si>
  <si>
    <t xml:space="preserve">假号 评论水</t>
  </si>
  <si>
    <t xml:space="preserve">该达人被标记为假号，评论区内容质量低，缺乏真实性。</t>
  </si>
  <si>
    <t xml:space="preserve">客户未明确说明不推荐的具体原因，仅标记为重复提号。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</si>
  <si>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合作阅读还没有报价多，不要了</t>
    </r>
  </si>
  <si>
    <t xml:space="preserve">合作阅读还没有报价多，不要了</t>
  </si>
  <si>
    <t xml:space="preserve">合作笔记的阅读数低于报价，性价比低。</t>
  </si>
  <si>
    <t xml:space="preserve">客户未推荐，可能由于重复提号或其他未明确原因。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</si>
  <si>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，阅读太低了</t>
    </r>
  </si>
  <si>
    <t xml:space="preserve">阅读太低了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</si>
  <si>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2042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</si>
  <si>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，进店贵</t>
    </r>
  </si>
  <si>
    <t xml:space="preserve">进店贵</t>
  </si>
  <si>
    <t xml:space="preserve">客户认为该达人合作成本过高，进店转化费用超出预期。</t>
  </si>
  <si>
    <r>
      <rPr>
        <sz val="11"/>
        <color rgb="FF000000"/>
        <rFont val="Noto Sans CJK SC"/>
        <family val="2"/>
      </rPr>
      <t xml:space="preserve">达人合作笔记的阅读数中位值较低，仅</t>
    </r>
    <r>
      <rPr>
        <sz val="11"/>
        <color rgb="FF000000"/>
        <rFont val="Calibri"/>
        <family val="2"/>
        <charset val="1"/>
      </rPr>
      <t xml:space="preserve">3716</t>
    </r>
    <r>
      <rPr>
        <sz val="11"/>
        <color rgb="FF000000"/>
        <rFont val="Noto Sans CJK SC"/>
        <family val="2"/>
      </rPr>
      <t xml:space="preserve">，数据表现不佳。</t>
    </r>
  </si>
  <si>
    <t xml:space="preserve">客户认为该达人合作成本过高，导致进店转化成本偏高。</t>
  </si>
  <si>
    <t xml:space="preserve">45.11%
</t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</si>
  <si>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1700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</si>
  <si>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彩妆数据更好</t>
    </r>
  </si>
  <si>
    <t xml:space="preserve">彩妆数据更好</t>
  </si>
  <si>
    <t xml:space="preserve">美妆类不符</t>
  </si>
  <si>
    <t xml:space="preserve">达人数据偏向彩妆，与护肤类产品匹配度较低。</t>
  </si>
  <si>
    <r>
      <rPr>
        <sz val="11"/>
        <color rgb="FF000000"/>
        <rFont val="Noto Sans CJK SC"/>
        <family val="2"/>
      </rPr>
      <t xml:space="preserve">达人合作笔记的阅读数中位值较低，仅为</t>
    </r>
    <r>
      <rPr>
        <sz val="11"/>
        <color rgb="FF000000"/>
        <rFont val="Calibri"/>
        <family val="2"/>
        <charset val="1"/>
      </rPr>
      <t xml:space="preserve">9704</t>
    </r>
    <r>
      <rPr>
        <sz val="11"/>
        <color rgb="FF000000"/>
        <rFont val="Noto Sans CJK SC"/>
        <family val="2"/>
      </rPr>
      <t xml:space="preserve">，导致整体阅读表现不佳。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</si>
  <si>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，都是美女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，数据一般</t>
    </r>
  </si>
  <si>
    <r>
      <rPr>
        <sz val="11"/>
        <color rgb="FF000000"/>
        <rFont val="Noto Sans CJK SC"/>
        <family val="2"/>
      </rPr>
      <t xml:space="preserve">都是美女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，数据一般</t>
    </r>
  </si>
  <si>
    <r>
      <rPr>
        <sz val="11"/>
        <color rgb="FF000000"/>
        <rFont val="Noto Sans CJK SC"/>
        <family val="2"/>
      </rPr>
      <t xml:space="preserve">达人内容以美女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为主，数据表现一般，不符合品牌需求。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</si>
  <si>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，阅读比较低的图文号</t>
    </r>
  </si>
  <si>
    <t xml:space="preserve">阅读比较低的图文号</t>
  </si>
  <si>
    <t xml:space="preserve">该达人图文内容的阅读数较低，可能影响推广效果。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</si>
  <si>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，太水了</t>
    </r>
  </si>
  <si>
    <t xml:space="preserve">太水了</t>
  </si>
  <si>
    <t xml:space="preserve">客户认为该达人内容质量太水，不符合要求。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</si>
  <si>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，发布很少，内容一般</t>
    </r>
  </si>
  <si>
    <t xml:space="preserve">发布很少，内容一般</t>
  </si>
  <si>
    <t xml:space="preserve">达人发布频率较低，内容质量一般，无法满足推广需求。</t>
  </si>
  <si>
    <r>
      <rPr>
        <sz val="11"/>
        <color rgb="FF000000"/>
        <rFont val="Noto Sans CJK SC"/>
        <family val="2"/>
      </rPr>
      <t xml:space="preserve">重复提号</t>
    </r>
    <r>
      <rPr>
        <sz val="11"/>
        <color rgb="FF000000"/>
        <rFont val="Calibri"/>
        <family val="2"/>
        <charset val="1"/>
      </rPr>
      <t xml:space="preserve">,N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</si>
  <si>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，评论区很水</t>
    </r>
  </si>
  <si>
    <t xml:space="preserve">评论区很水</t>
  </si>
  <si>
    <t xml:space="preserve">评论区质量差，内容缺乏实质性，整体表现不佳。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</si>
  <si>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，近期阅读数据很低</t>
    </r>
  </si>
  <si>
    <t xml:space="preserve">近期阅读数据很低</t>
  </si>
  <si>
    <t xml:space="preserve">近期合作笔记的阅读数据表现非常低，未达到预期效果。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</si>
  <si>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，发布少，内容一般</t>
    </r>
  </si>
  <si>
    <t xml:space="preserve">发布少，内容一般</t>
  </si>
  <si>
    <t xml:space="preserve">达人发布内容频率较低，影响合作效果。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</si>
  <si>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内容很乱</t>
    </r>
  </si>
  <si>
    <t xml:space="preserve">内容很乱</t>
  </si>
  <si>
    <t xml:space="preserve">客户认为该达人发布的内容主题混乱，缺乏条理性。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</si>
  <si>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，近期阅读低，进店一般</t>
    </r>
  </si>
  <si>
    <t xml:space="preserve">近期阅读低，进店一般</t>
  </si>
  <si>
    <t xml:space="preserve">达人近期笔记阅读量较低，影响推广效果。</t>
  </si>
  <si>
    <t xml:space="preserve">客户未提供明确信息，无法判断具体不推荐原因。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</si>
  <si>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阅读数据差</t>
    </r>
  </si>
  <si>
    <r>
      <rPr>
        <sz val="11"/>
        <color rgb="FF000000"/>
        <rFont val="Noto Sans CJK SC"/>
        <family val="2"/>
      </rPr>
      <t xml:space="preserve">达人合作笔记的阅读数中位值仅为</t>
    </r>
    <r>
      <rPr>
        <sz val="11"/>
        <color rgb="FF000000"/>
        <rFont val="Calibri"/>
        <family val="2"/>
        <charset val="1"/>
      </rPr>
      <t xml:space="preserve">5502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</si>
  <si>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阅读不稳定</t>
    </r>
  </si>
  <si>
    <t xml:space="preserve">达人合作笔记的阅读数和流量来源占比波动较大，数据表现不稳定。</t>
  </si>
  <si>
    <t xml:space="preserve">达人阅读数据波动较大，表现不稳定。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</si>
  <si>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，工位摸鱼摆摊 类型很不错数据优 可以拍给同事护肤</t>
    </r>
  </si>
  <si>
    <t xml:space="preserve">工位摸鱼摆摊 类型很不错数据优 可以拍给同事护肤</t>
  </si>
  <si>
    <t xml:space="preserve">达人数据表现优秀，适合推广护肤相关内容。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</si>
  <si>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，前两天刚发过小白瓶</t>
    </r>
  </si>
  <si>
    <t xml:space="preserve">前两天刚发过小白瓶</t>
  </si>
  <si>
    <t xml:space="preserve">达人刚发布过相关产品内容，重复合作影响效果。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</si>
  <si>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，阅读不稳进店贵</t>
    </r>
  </si>
  <si>
    <t xml:space="preserve">阅读不稳进店贵</t>
  </si>
  <si>
    <t xml:space="preserve">阅读数据不稳定，且进店成本较高，影响投放效果。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</si>
  <si>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，阅读一般</t>
    </r>
  </si>
  <si>
    <t xml:space="preserve">阅读一般</t>
  </si>
  <si>
    <r>
      <rPr>
        <sz val="11"/>
        <color rgb="FF000000"/>
        <rFont val="Noto Sans CJK SC"/>
        <family val="2"/>
      </rPr>
      <t xml:space="preserve">达人笔记的阅读数中位值仅为</t>
    </r>
    <r>
      <rPr>
        <sz val="11"/>
        <color rgb="FF000000"/>
        <rFont val="Calibri"/>
        <family val="2"/>
        <charset val="1"/>
      </rPr>
      <t xml:space="preserve">1966</t>
    </r>
    <r>
      <rPr>
        <sz val="11"/>
        <color rgb="FF000000"/>
        <rFont val="Noto Sans CJK SC"/>
        <family val="2"/>
      </rPr>
      <t xml:space="preserve">，整体阅读表现一般。</t>
    </r>
  </si>
  <si>
    <t xml:space="preserve">客户不推荐的原因是重复提号，未明确提及具体问题。</t>
  </si>
  <si>
    <t xml:space="preserve">客户未推荐，可能因重复提号问题导致不符合需求。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</si>
  <si>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，价格贵，但合作笔记阅读低</t>
    </r>
  </si>
  <si>
    <t xml:space="preserve">价格贵，但合作笔记阅读低</t>
  </si>
  <si>
    <r>
      <rPr>
        <sz val="11"/>
        <color rgb="FF000000"/>
        <rFont val="Noto Sans CJK SC"/>
        <family val="2"/>
      </rPr>
      <t xml:space="preserve">达人合作笔记阅读数中位值仅为</t>
    </r>
    <r>
      <rPr>
        <sz val="11"/>
        <color rgb="FF000000"/>
        <rFont val="Calibri"/>
        <family val="2"/>
        <charset val="1"/>
      </rPr>
      <t xml:space="preserve">17707</t>
    </r>
    <r>
      <rPr>
        <sz val="11"/>
        <color rgb="FF000000"/>
        <rFont val="Noto Sans CJK SC"/>
        <family val="2"/>
      </rPr>
      <t xml:space="preserve">，数据表现较差。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</si>
  <si>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，价格贵，账号内容一般</t>
    </r>
  </si>
  <si>
    <t xml:space="preserve">价格贵，账号内容一般</t>
  </si>
  <si>
    <t xml:space="preserve">价格过高且账号内容质量一般，性价比低。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</si>
  <si>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</t>
    </r>
  </si>
  <si>
    <t xml:space="preserve">更新频率低</t>
  </si>
  <si>
    <t xml:space="preserve">达人更新频率较低，影响内容持续曝光和推广效果。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</si>
  <si>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，夫妻账号，更适合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</si>
  <si>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Noto Sans CJK SC"/>
        <family val="2"/>
      </rPr>
      <t xml:space="preserve">夫妻账号，更适合</t>
    </r>
    <r>
      <rPr>
        <sz val="11"/>
        <color rgb="FF000000"/>
        <rFont val="Calibri"/>
        <family val="2"/>
        <charset val="1"/>
      </rPr>
      <t xml:space="preserve">prox</t>
    </r>
  </si>
  <si>
    <t xml:space="preserve">夫妻账号类型不符合品牌调性，更适合其他品牌合作。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</si>
  <si>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，价格贵，更新慢，数据低</t>
    </r>
  </si>
  <si>
    <t xml:space="preserve">价格贵，更新慢，数据低</t>
  </si>
  <si>
    <t xml:space="preserve">价格较高且更新频率低，导致数据表现不佳，影响性价比。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</si>
  <si>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，合作了黑管，但是阅读数据很低</t>
    </r>
  </si>
  <si>
    <t xml:space="preserve">合作了黑管，但是阅读数据很低</t>
  </si>
  <si>
    <t xml:space="preserve">合作内容的阅读数据表现较低，未能达到预期效果。</t>
  </si>
  <si>
    <r>
      <rPr>
        <sz val="11"/>
        <color rgb="FF000000"/>
        <rFont val="Noto Sans CJK SC"/>
        <family val="2"/>
      </rPr>
      <t xml:space="preserve">重复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，老网红，首页数据一般</t>
    </r>
  </si>
  <si>
    <t xml:space="preserve">首页数据一般，整体表现未达预期。</t>
  </si>
  <si>
    <r>
      <rPr>
        <sz val="11"/>
        <color rgb="FF000000"/>
        <rFont val="Noto Sans CJK SC"/>
        <family val="2"/>
      </rPr>
      <t xml:space="preserve">重复</t>
    </r>
    <r>
      <rPr>
        <sz val="11"/>
        <color rgb="FF000000"/>
        <rFont val="Calibri"/>
        <family val="2"/>
        <charset val="1"/>
      </rPr>
      <t xml:space="preserve">N</t>
    </r>
  </si>
  <si>
    <r>
      <rPr>
        <sz val="11"/>
        <color rgb="FF000000"/>
        <rFont val="Noto Sans CJK SC"/>
        <family val="2"/>
      </rPr>
      <t xml:space="preserve">客户未明确说明不推荐的具体原因，仅标记为重复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</si>
  <si>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，价格贵，数据差，人设不合适</t>
    </r>
  </si>
  <si>
    <t xml:space="preserve">价格贵，数据差，人设不合适</t>
  </si>
  <si>
    <t xml:space="preserve">达人价格较高，数据表现差且人设不符合品牌需求。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</si>
  <si>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，妈妈人设都是穿搭</t>
    </r>
  </si>
  <si>
    <t xml:space="preserve">妈妈人设都是穿搭</t>
  </si>
  <si>
    <t xml:space="preserve">妈妈人设以穿搭为主，与品牌需求不匹配。</t>
  </si>
  <si>
    <t xml:space="preserve">客户认为内容质量一般，未达到推荐标准。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</si>
  <si>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，有点贵的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号，实在缺账号的话，可以先</t>
    </r>
    <r>
      <rPr>
        <sz val="11"/>
        <color rgb="FF000000"/>
        <rFont val="Calibri"/>
        <family val="2"/>
        <charset val="1"/>
      </rPr>
      <t xml:space="preserve">bd</t>
    </r>
  </si>
  <si>
    <r>
      <rPr>
        <sz val="11"/>
        <color rgb="FF000000"/>
        <rFont val="Noto Sans CJK SC"/>
        <family val="2"/>
      </rPr>
      <t xml:space="preserve">达人属于较贵的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号，性价比不高，需谨慎选择。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</si>
  <si>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，更新慢</t>
    </r>
  </si>
  <si>
    <t xml:space="preserve">更新慢</t>
  </si>
  <si>
    <t xml:space="preserve">达人更新频率较低，可能影响内容持续曝光和推广效果。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</si>
</sst>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305"/>
  <sheetViews>
    <sheetView showFormulas="false" showGridLines="true" showRowColHeaders="true" showZeros="true" rightToLeft="false" tabSelected="true" showOutlineSymbols="true" defaultGridColor="true" view="normal" topLeftCell="Q88" colorId="64" zoomScale="100" zoomScaleNormal="100" zoomScalePageLayoutView="100" workbookViewId="0">
      <selection pane="topLeft" activeCell="AC119" activeCellId="0" sqref="AC119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0" t="s">
        <v>31</v>
      </c>
      <c r="B2" s="0" t="n">
        <v>9500</v>
      </c>
      <c r="C2" s="0" t="n">
        <v>14000</v>
      </c>
      <c r="D2" s="0" t="s">
        <v>32</v>
      </c>
      <c r="E2" s="0" t="s">
        <v>33</v>
      </c>
      <c r="F2" s="0" t="n">
        <v>15.6</v>
      </c>
      <c r="G2" s="0" t="n">
        <v>0.483</v>
      </c>
      <c r="H2" s="0" t="n">
        <v>0.048</v>
      </c>
      <c r="I2" s="0" t="n">
        <v>0.9419</v>
      </c>
      <c r="J2" s="0" t="n">
        <v>0.113310187037007</v>
      </c>
      <c r="K2" s="0" t="n">
        <v>0.988421349901158</v>
      </c>
      <c r="L2" s="0" t="n">
        <v>8.23045267489712</v>
      </c>
      <c r="M2" s="0" t="n">
        <v>9.40860215053763</v>
      </c>
      <c r="N2" s="0" t="n">
        <v>125002</v>
      </c>
      <c r="O2" s="0" t="n">
        <v>14164</v>
      </c>
      <c r="P2" s="0" t="n">
        <v>1701</v>
      </c>
      <c r="Q2" s="0" t="n">
        <v>1488</v>
      </c>
      <c r="R2" s="0" t="n">
        <v>0.791</v>
      </c>
      <c r="S2" s="0" t="n">
        <v>0.079</v>
      </c>
      <c r="T2" s="0" t="s">
        <v>34</v>
      </c>
      <c r="U2" s="0" t="n">
        <v>0.5081</v>
      </c>
      <c r="AA2" s="0" t="s">
        <v>35</v>
      </c>
      <c r="AB2" s="0" t="n">
        <f aca="false">FALSE()</f>
        <v>0</v>
      </c>
      <c r="AC2" s="4" t="s">
        <v>36</v>
      </c>
      <c r="AD2" s="4" t="s">
        <v>37</v>
      </c>
      <c r="AE2" s="4" t="s">
        <v>38</v>
      </c>
    </row>
    <row r="3" customFormat="false" ht="15" hidden="false" customHeight="false" outlineLevel="0" collapsed="false">
      <c r="A3" s="0" t="s">
        <v>31</v>
      </c>
      <c r="B3" s="0" t="n">
        <v>17000</v>
      </c>
      <c r="C3" s="0" t="n">
        <v>24000</v>
      </c>
      <c r="D3" s="0" t="s">
        <v>39</v>
      </c>
      <c r="E3" s="0" t="s">
        <v>33</v>
      </c>
      <c r="F3" s="0" t="n">
        <v>28.4</v>
      </c>
      <c r="G3" s="0" t="n">
        <v>0.36</v>
      </c>
      <c r="H3" s="0" t="n">
        <v>0.031</v>
      </c>
      <c r="I3" s="0" t="n">
        <v>0.9331</v>
      </c>
      <c r="J3" s="0" t="n">
        <v>0.315447495284008</v>
      </c>
      <c r="K3" s="0" t="n">
        <v>1.1390602752729</v>
      </c>
      <c r="L3" s="0" t="n">
        <v>13.4755755193711</v>
      </c>
      <c r="N3" s="0" t="n">
        <v>66794</v>
      </c>
      <c r="O3" s="0" t="n">
        <v>21070</v>
      </c>
      <c r="P3" s="0" t="n">
        <v>1781</v>
      </c>
      <c r="Q3" s="0" t="s">
        <v>34</v>
      </c>
      <c r="R3" s="0" t="n">
        <v>0.792</v>
      </c>
      <c r="S3" s="0" t="n">
        <v>0</v>
      </c>
      <c r="T3" s="0" t="s">
        <v>34</v>
      </c>
      <c r="U3" s="0" t="s">
        <v>34</v>
      </c>
      <c r="AA3" s="0" t="s">
        <v>40</v>
      </c>
      <c r="AB3" s="0" t="n">
        <f aca="false">FALSE()</f>
        <v>0</v>
      </c>
      <c r="AC3" s="4" t="s">
        <v>41</v>
      </c>
      <c r="AD3" s="4" t="s">
        <v>37</v>
      </c>
      <c r="AE3" s="4" t="s">
        <v>42</v>
      </c>
    </row>
    <row r="4" customFormat="false" ht="15" hidden="false" customHeight="false" outlineLevel="0" collapsed="false">
      <c r="A4" s="0" t="s">
        <v>31</v>
      </c>
      <c r="B4" s="0" t="n">
        <v>3000</v>
      </c>
      <c r="C4" s="0" t="s">
        <v>43</v>
      </c>
      <c r="D4" s="0" t="s">
        <v>32</v>
      </c>
      <c r="E4" s="0" t="s">
        <v>44</v>
      </c>
      <c r="F4" s="0" t="n">
        <v>2.5</v>
      </c>
      <c r="G4" s="0" t="n">
        <v>0.453</v>
      </c>
      <c r="H4" s="0" t="n">
        <v>0.042</v>
      </c>
      <c r="I4" s="0" t="n">
        <v>0.8718</v>
      </c>
      <c r="J4" s="0" t="n">
        <v>0.211092275383954</v>
      </c>
      <c r="K4" s="0" t="n">
        <v>0.359582883854728</v>
      </c>
      <c r="L4" s="0" t="n">
        <v>4.41826215022091</v>
      </c>
      <c r="M4" s="0" t="n">
        <v>300</v>
      </c>
      <c r="N4" s="0" t="n">
        <v>39523</v>
      </c>
      <c r="O4" s="0" t="n">
        <v>8343</v>
      </c>
      <c r="P4" s="0" t="n">
        <v>679</v>
      </c>
      <c r="Q4" s="0" t="n">
        <v>10</v>
      </c>
      <c r="R4" s="0" t="n">
        <v>0.964</v>
      </c>
      <c r="S4" s="0" t="n">
        <v>0.001</v>
      </c>
      <c r="T4" s="0" t="n">
        <v>0.3881</v>
      </c>
      <c r="U4" s="0" t="s">
        <v>34</v>
      </c>
      <c r="V4" s="0" t="s">
        <v>45</v>
      </c>
      <c r="W4" s="4" t="s">
        <v>46</v>
      </c>
      <c r="Y4" s="4" t="s">
        <v>47</v>
      </c>
      <c r="AA4" s="0" t="s">
        <v>48</v>
      </c>
      <c r="AB4" s="0" t="n">
        <f aca="false">TRUE()</f>
        <v>1</v>
      </c>
      <c r="AC4" s="4" t="s">
        <v>49</v>
      </c>
      <c r="AD4" s="4" t="s">
        <v>50</v>
      </c>
      <c r="AE4" s="4" t="s">
        <v>51</v>
      </c>
    </row>
    <row r="5" customFormat="false" ht="15" hidden="false" customHeight="false" outlineLevel="0" collapsed="false">
      <c r="A5" s="0" t="s">
        <v>31</v>
      </c>
      <c r="B5" s="0" t="n">
        <v>42000</v>
      </c>
      <c r="C5" s="0" t="n">
        <v>48000</v>
      </c>
      <c r="D5" s="0" t="s">
        <v>39</v>
      </c>
      <c r="E5" s="0" t="s">
        <v>33</v>
      </c>
      <c r="F5" s="0" t="n">
        <v>32.8</v>
      </c>
      <c r="G5" s="0" t="n">
        <v>0.453</v>
      </c>
      <c r="H5" s="0" t="n">
        <v>0.024</v>
      </c>
      <c r="I5" s="0" t="n">
        <v>0.9488</v>
      </c>
      <c r="J5" s="0" t="n">
        <v>0.139630928387525</v>
      </c>
      <c r="K5" s="0" t="n">
        <v>2.00241959033833</v>
      </c>
      <c r="L5" s="0" t="n">
        <v>9.68523002421308</v>
      </c>
      <c r="M5" s="0" t="n">
        <v>79.8668885191348</v>
      </c>
      <c r="N5" s="0" t="n">
        <v>171674</v>
      </c>
      <c r="O5" s="0" t="n">
        <v>23971</v>
      </c>
      <c r="P5" s="0" t="n">
        <v>4956</v>
      </c>
      <c r="Q5" s="0" t="n">
        <v>601</v>
      </c>
      <c r="R5" s="0" t="n">
        <v>0.613</v>
      </c>
      <c r="S5" s="0" t="n">
        <v>0.079</v>
      </c>
      <c r="T5" s="0" t="s">
        <v>34</v>
      </c>
      <c r="U5" s="0" t="n">
        <v>0.425</v>
      </c>
      <c r="AA5" s="0" t="s">
        <v>52</v>
      </c>
      <c r="AB5" s="0" t="n">
        <f aca="false">FALSE()</f>
        <v>0</v>
      </c>
      <c r="AC5" s="4" t="s">
        <v>53</v>
      </c>
      <c r="AD5" s="4" t="s">
        <v>54</v>
      </c>
      <c r="AE5" s="4" t="s">
        <v>55</v>
      </c>
    </row>
    <row r="6" customFormat="false" ht="15" hidden="false" customHeight="false" outlineLevel="0" collapsed="false">
      <c r="A6" s="0" t="s">
        <v>31</v>
      </c>
      <c r="B6" s="0" t="n">
        <v>18000</v>
      </c>
      <c r="C6" s="0" t="n">
        <v>21000</v>
      </c>
      <c r="D6" s="0" t="s">
        <v>32</v>
      </c>
      <c r="E6" s="0" t="s">
        <v>33</v>
      </c>
      <c r="F6" s="0" t="n">
        <v>15.7</v>
      </c>
      <c r="G6" s="0" t="n">
        <v>0.374</v>
      </c>
      <c r="H6" s="0" t="n">
        <v>0.043</v>
      </c>
      <c r="I6" s="0" t="n">
        <v>0.9606</v>
      </c>
      <c r="J6" s="0" t="n">
        <v>0.205151998812219</v>
      </c>
      <c r="K6" s="0" t="n">
        <v>3.79952958205175</v>
      </c>
      <c r="L6" s="0" t="n">
        <v>8.78293601003764</v>
      </c>
      <c r="M6" s="0" t="n">
        <v>1000</v>
      </c>
      <c r="N6" s="0" t="n">
        <v>26941</v>
      </c>
      <c r="O6" s="0" t="n">
        <v>5527</v>
      </c>
      <c r="P6" s="0" t="n">
        <v>2391</v>
      </c>
      <c r="Q6" s="0" t="n">
        <v>21</v>
      </c>
      <c r="R6" s="0" t="n">
        <v>0.792</v>
      </c>
      <c r="S6" s="0" t="n">
        <v>0.03</v>
      </c>
      <c r="T6" s="0" t="s">
        <v>34</v>
      </c>
      <c r="U6" s="0" t="n">
        <v>0.113</v>
      </c>
      <c r="AA6" s="0" t="s">
        <v>56</v>
      </c>
      <c r="AB6" s="0" t="n">
        <f aca="false">FALSE()</f>
        <v>0</v>
      </c>
      <c r="AC6" s="4" t="s">
        <v>57</v>
      </c>
      <c r="AD6" s="4" t="s">
        <v>54</v>
      </c>
      <c r="AE6" s="4" t="s">
        <v>58</v>
      </c>
    </row>
    <row r="7" customFormat="false" ht="15" hidden="false" customHeight="false" outlineLevel="0" collapsed="false">
      <c r="A7" s="0" t="s">
        <v>31</v>
      </c>
      <c r="B7" s="0" t="n">
        <v>20000</v>
      </c>
      <c r="C7" s="0" t="n">
        <v>42000</v>
      </c>
      <c r="D7" s="0" t="s">
        <v>39</v>
      </c>
      <c r="E7" s="0" t="s">
        <v>59</v>
      </c>
      <c r="F7" s="0" t="n">
        <v>54.3</v>
      </c>
      <c r="G7" s="0" t="n">
        <v>0.37</v>
      </c>
      <c r="H7" s="0" t="n">
        <v>0.037</v>
      </c>
      <c r="I7" s="0" t="n">
        <v>0.963</v>
      </c>
      <c r="J7" s="0" t="n">
        <v>0.244340148531765</v>
      </c>
      <c r="K7" s="0" t="n">
        <v>3.09096261407124</v>
      </c>
      <c r="L7" s="0" t="n">
        <v>5.90302178496135</v>
      </c>
      <c r="M7" s="0" t="n">
        <v>221.052631578947</v>
      </c>
      <c r="N7" s="0" t="n">
        <v>55611</v>
      </c>
      <c r="O7" s="0" t="n">
        <v>13588</v>
      </c>
      <c r="P7" s="0" t="n">
        <v>7115</v>
      </c>
      <c r="Q7" s="0" t="n">
        <v>190</v>
      </c>
      <c r="R7" s="0" t="n">
        <v>0.744</v>
      </c>
      <c r="S7" s="0" t="n">
        <v>0.013</v>
      </c>
      <c r="T7" s="0" t="s">
        <v>34</v>
      </c>
      <c r="U7" s="0" t="n">
        <v>0.2297</v>
      </c>
      <c r="AA7" s="0" t="s">
        <v>60</v>
      </c>
      <c r="AB7" s="0" t="n">
        <f aca="false">FALSE()</f>
        <v>0</v>
      </c>
      <c r="AC7" s="4" t="s">
        <v>61</v>
      </c>
      <c r="AD7" s="4" t="s">
        <v>62</v>
      </c>
      <c r="AE7" s="4" t="s">
        <v>63</v>
      </c>
    </row>
    <row r="8" customFormat="false" ht="15" hidden="false" customHeight="false" outlineLevel="0" collapsed="false">
      <c r="A8" s="0" t="s">
        <v>31</v>
      </c>
      <c r="B8" s="0" t="n">
        <v>27000</v>
      </c>
      <c r="C8" s="0" t="n">
        <v>35000</v>
      </c>
      <c r="D8" s="0" t="s">
        <v>39</v>
      </c>
      <c r="E8" s="0" t="s">
        <v>59</v>
      </c>
      <c r="F8" s="0" t="n">
        <v>51.2</v>
      </c>
      <c r="G8" s="0" t="n">
        <v>0.374</v>
      </c>
      <c r="H8" s="0" t="n">
        <v>0.054</v>
      </c>
      <c r="I8" s="0" t="n">
        <v>0.9451</v>
      </c>
      <c r="J8" s="0" t="n">
        <v>0.664319031291508</v>
      </c>
      <c r="K8" s="0" t="n">
        <v>1.62745280386869</v>
      </c>
      <c r="L8" s="0" t="n">
        <v>27.1107668474051</v>
      </c>
      <c r="M8" s="0" t="n">
        <v>0.973980798664255</v>
      </c>
      <c r="N8" s="0" t="n">
        <v>32373</v>
      </c>
      <c r="O8" s="0" t="n">
        <v>21506</v>
      </c>
      <c r="P8" s="0" t="n">
        <v>1291</v>
      </c>
      <c r="Q8" s="0" t="n">
        <v>35935</v>
      </c>
      <c r="R8" s="0" t="n">
        <v>0.345</v>
      </c>
      <c r="S8" s="0" t="n">
        <v>0.011</v>
      </c>
      <c r="T8" s="0" t="s">
        <v>34</v>
      </c>
      <c r="U8" s="0" t="s">
        <v>34</v>
      </c>
      <c r="AA8" s="0" t="s">
        <v>64</v>
      </c>
      <c r="AB8" s="0" t="n">
        <f aca="false">FALSE()</f>
        <v>0</v>
      </c>
      <c r="AC8" s="4" t="s">
        <v>65</v>
      </c>
      <c r="AD8" s="4" t="s">
        <v>66</v>
      </c>
      <c r="AE8" s="4" t="s">
        <v>67</v>
      </c>
    </row>
    <row r="9" customFormat="false" ht="15" hidden="false" customHeight="false" outlineLevel="0" collapsed="false">
      <c r="A9" s="0" t="s">
        <v>31</v>
      </c>
      <c r="B9" s="0" t="n">
        <v>20000</v>
      </c>
      <c r="C9" s="0" t="n">
        <v>26000</v>
      </c>
      <c r="D9" s="0" t="s">
        <v>39</v>
      </c>
      <c r="E9" s="0" t="s">
        <v>44</v>
      </c>
      <c r="F9" s="0" t="n">
        <v>9</v>
      </c>
      <c r="G9" s="0" t="n">
        <v>0.448</v>
      </c>
      <c r="H9" s="0" t="n">
        <v>0.053</v>
      </c>
      <c r="I9" s="0" t="n">
        <v>0.952</v>
      </c>
      <c r="J9" s="0" t="n">
        <v>0.701742497579864</v>
      </c>
      <c r="K9" s="0" t="n">
        <v>3.58670161401573</v>
      </c>
      <c r="L9" s="0" t="n">
        <v>1.62094763092269</v>
      </c>
      <c r="M9" s="0" t="n">
        <v>2.37442922374429</v>
      </c>
      <c r="N9" s="0" t="n">
        <v>10330</v>
      </c>
      <c r="O9" s="0" t="n">
        <v>7249</v>
      </c>
      <c r="P9" s="0" t="n">
        <v>16040</v>
      </c>
      <c r="Q9" s="0" t="n">
        <v>10950</v>
      </c>
      <c r="R9" s="0" t="n">
        <v>0.896</v>
      </c>
      <c r="S9" s="0" t="n">
        <v>0.007</v>
      </c>
      <c r="T9" s="0" t="s">
        <v>34</v>
      </c>
      <c r="U9" s="0" t="n">
        <v>0.1296</v>
      </c>
      <c r="Y9" s="4" t="s">
        <v>68</v>
      </c>
      <c r="AA9" s="0" t="s">
        <v>69</v>
      </c>
      <c r="AB9" s="0" t="n">
        <f aca="false">FALSE()</f>
        <v>0</v>
      </c>
      <c r="AC9" s="0" t="s">
        <v>69</v>
      </c>
      <c r="AD9" s="0" t="s">
        <v>70</v>
      </c>
      <c r="AE9" s="4" t="s">
        <v>71</v>
      </c>
    </row>
    <row r="10" customFormat="false" ht="15" hidden="false" customHeight="false" outlineLevel="0" collapsed="false">
      <c r="A10" s="0" t="s">
        <v>31</v>
      </c>
      <c r="B10" s="0" t="n">
        <v>39200</v>
      </c>
      <c r="C10" s="0" t="n">
        <v>49000</v>
      </c>
      <c r="D10" s="0" t="s">
        <v>39</v>
      </c>
      <c r="E10" s="0" t="s">
        <v>33</v>
      </c>
      <c r="F10" s="0" t="n">
        <v>46.5</v>
      </c>
      <c r="G10" s="0" t="n">
        <v>0.421</v>
      </c>
      <c r="H10" s="0" t="n">
        <v>0.036</v>
      </c>
      <c r="I10" s="0" t="n">
        <v>0.9032</v>
      </c>
      <c r="J10" s="0" t="n">
        <v>0.177097054245001</v>
      </c>
      <c r="K10" s="0" t="n">
        <v>2.07074335460423</v>
      </c>
      <c r="L10" s="0" t="n">
        <v>26.3157894736842</v>
      </c>
      <c r="N10" s="0" t="n">
        <v>133616</v>
      </c>
      <c r="O10" s="0" t="n">
        <v>23663</v>
      </c>
      <c r="P10" s="0" t="n">
        <v>1862</v>
      </c>
      <c r="Q10" s="0" t="s">
        <v>34</v>
      </c>
      <c r="R10" s="0" t="n">
        <v>0.659</v>
      </c>
      <c r="S10" s="0" t="n">
        <v>0.017</v>
      </c>
      <c r="T10" s="0" t="s">
        <v>34</v>
      </c>
      <c r="U10" s="0" t="s">
        <v>34</v>
      </c>
      <c r="Y10" s="4" t="s">
        <v>68</v>
      </c>
      <c r="AA10" s="0" t="s">
        <v>72</v>
      </c>
      <c r="AB10" s="0" t="n">
        <f aca="false">FALSE()</f>
        <v>0</v>
      </c>
      <c r="AC10" s="4" t="s">
        <v>73</v>
      </c>
      <c r="AD10" s="4" t="s">
        <v>74</v>
      </c>
      <c r="AE10" s="4" t="s">
        <v>75</v>
      </c>
    </row>
    <row r="11" customFormat="false" ht="15" hidden="false" customHeight="false" outlineLevel="0" collapsed="false">
      <c r="A11" s="0" t="s">
        <v>31</v>
      </c>
      <c r="B11" s="0" t="n">
        <v>16000</v>
      </c>
      <c r="C11" s="0" t="n">
        <v>20000</v>
      </c>
      <c r="D11" s="0" t="s">
        <v>39</v>
      </c>
      <c r="E11" s="0" t="s">
        <v>33</v>
      </c>
      <c r="F11" s="0" t="n">
        <v>13.1</v>
      </c>
      <c r="G11" s="0" t="n">
        <v>0.682</v>
      </c>
      <c r="H11" s="0" t="n">
        <v>0.019</v>
      </c>
      <c r="I11" s="0" t="n">
        <v>0.9165</v>
      </c>
      <c r="J11" s="0" t="n">
        <v>0.136818574404308</v>
      </c>
      <c r="K11" s="0" t="n">
        <v>2.47555390518629</v>
      </c>
      <c r="L11" s="0" t="n">
        <v>11.6414435389988</v>
      </c>
      <c r="M11" s="0" t="n">
        <v>3333.33333333333</v>
      </c>
      <c r="N11" s="0" t="n">
        <v>59049</v>
      </c>
      <c r="O11" s="0" t="n">
        <v>8079</v>
      </c>
      <c r="P11" s="0" t="n">
        <v>1718</v>
      </c>
      <c r="Q11" s="0" t="n">
        <v>6</v>
      </c>
      <c r="R11" s="0" t="n">
        <v>0.375</v>
      </c>
      <c r="S11" s="0" t="n">
        <v>0.41</v>
      </c>
      <c r="T11" s="0" t="s">
        <v>34</v>
      </c>
      <c r="U11" s="0" t="n">
        <v>0.2342</v>
      </c>
      <c r="Y11" s="4" t="s">
        <v>76</v>
      </c>
      <c r="AA11" s="0" t="s">
        <v>77</v>
      </c>
      <c r="AB11" s="0" t="n">
        <f aca="false">FALSE()</f>
        <v>0</v>
      </c>
      <c r="AC11" s="4" t="s">
        <v>78</v>
      </c>
      <c r="AD11" s="4" t="s">
        <v>37</v>
      </c>
      <c r="AE11" s="4" t="s">
        <v>79</v>
      </c>
    </row>
    <row r="12" customFormat="false" ht="15" hidden="false" customHeight="false" outlineLevel="0" collapsed="false">
      <c r="A12" s="0" t="s">
        <v>31</v>
      </c>
      <c r="B12" s="0" t="s">
        <v>43</v>
      </c>
      <c r="C12" s="0" t="n">
        <v>10000</v>
      </c>
      <c r="D12" s="0" t="s">
        <v>39</v>
      </c>
      <c r="E12" s="0" t="s">
        <v>44</v>
      </c>
      <c r="F12" s="0" t="n">
        <v>3.6</v>
      </c>
      <c r="G12" s="0" t="n">
        <v>0.458</v>
      </c>
      <c r="H12" s="0" t="n">
        <v>0.039</v>
      </c>
      <c r="I12" s="0" t="n">
        <v>0.9447</v>
      </c>
      <c r="J12" s="0" t="n">
        <v>0.186101469610812</v>
      </c>
      <c r="K12" s="0" t="n">
        <v>1.98412698412698</v>
      </c>
      <c r="L12" s="0" t="n">
        <v>10.2040816326531</v>
      </c>
      <c r="N12" s="0" t="n">
        <v>27082</v>
      </c>
      <c r="O12" s="0" t="n">
        <v>5040</v>
      </c>
      <c r="P12" s="0" t="n">
        <v>980</v>
      </c>
      <c r="Q12" s="0" t="s">
        <v>34</v>
      </c>
      <c r="R12" s="0" t="n">
        <v>0.439</v>
      </c>
      <c r="S12" s="0" t="n">
        <v>0.06</v>
      </c>
      <c r="T12" s="0" t="s">
        <v>34</v>
      </c>
      <c r="U12" s="0" t="s">
        <v>34</v>
      </c>
      <c r="AA12" s="0" t="s">
        <v>80</v>
      </c>
      <c r="AB12" s="0" t="n">
        <f aca="false">FALSE()</f>
        <v>0</v>
      </c>
      <c r="AC12" s="4" t="s">
        <v>74</v>
      </c>
      <c r="AD12" s="4" t="s">
        <v>74</v>
      </c>
      <c r="AE12" s="4" t="s">
        <v>81</v>
      </c>
    </row>
    <row r="13" customFormat="false" ht="15" hidden="false" customHeight="false" outlineLevel="0" collapsed="false">
      <c r="A13" s="0" t="s">
        <v>31</v>
      </c>
      <c r="B13" s="0" t="n">
        <v>15000</v>
      </c>
      <c r="C13" s="0" t="n">
        <v>20000</v>
      </c>
      <c r="D13" s="0" t="s">
        <v>39</v>
      </c>
      <c r="E13" s="0" t="s">
        <v>44</v>
      </c>
      <c r="F13" s="0" t="n">
        <v>2.4</v>
      </c>
      <c r="G13" s="0" t="n">
        <v>0.343</v>
      </c>
      <c r="H13" s="0" t="n">
        <v>0.039</v>
      </c>
      <c r="I13" s="0" t="n">
        <v>0.8018</v>
      </c>
      <c r="J13" s="0" t="n">
        <v>0.157308790615112</v>
      </c>
      <c r="K13" s="0" t="n">
        <v>2.45308475407825</v>
      </c>
      <c r="L13" s="0" t="n">
        <v>5.70776255707763</v>
      </c>
      <c r="M13" s="0" t="n">
        <v>97.5609756097561</v>
      </c>
      <c r="N13" s="0" t="n">
        <v>51828</v>
      </c>
      <c r="O13" s="0" t="n">
        <v>8153</v>
      </c>
      <c r="P13" s="0" t="n">
        <v>3504</v>
      </c>
      <c r="Q13" s="0" t="n">
        <v>205</v>
      </c>
      <c r="R13" s="0" t="n">
        <v>0.347</v>
      </c>
      <c r="S13" s="0" t="n">
        <v>0.034</v>
      </c>
      <c r="T13" s="0" t="s">
        <v>34</v>
      </c>
      <c r="U13" s="0" t="n">
        <v>0.0148</v>
      </c>
      <c r="AA13" s="0" t="s">
        <v>82</v>
      </c>
      <c r="AB13" s="0" t="n">
        <f aca="false">FALSE()</f>
        <v>0</v>
      </c>
      <c r="AC13" s="4" t="s">
        <v>83</v>
      </c>
      <c r="AD13" s="4" t="s">
        <v>54</v>
      </c>
      <c r="AE13" s="4" t="s">
        <v>84</v>
      </c>
    </row>
    <row r="14" customFormat="false" ht="15" hidden="false" customHeight="false" outlineLevel="0" collapsed="false">
      <c r="A14" s="0" t="s">
        <v>31</v>
      </c>
      <c r="B14" s="0" t="n">
        <v>10000</v>
      </c>
      <c r="C14" s="0" t="n">
        <v>13000</v>
      </c>
      <c r="D14" s="0" t="s">
        <v>39</v>
      </c>
      <c r="E14" s="0" t="s">
        <v>44</v>
      </c>
      <c r="F14" s="0" t="n">
        <v>5.9</v>
      </c>
      <c r="G14" s="0" t="n">
        <v>0.516</v>
      </c>
      <c r="H14" s="0" t="n">
        <v>0.042</v>
      </c>
      <c r="I14" s="0" t="n">
        <v>0.942</v>
      </c>
      <c r="J14" s="0" t="n">
        <v>0.151205565738183</v>
      </c>
      <c r="K14" s="0" t="n">
        <v>0.277433949378975</v>
      </c>
      <c r="L14" s="0" t="n">
        <v>0.709529527344176</v>
      </c>
      <c r="M14" s="0" t="n">
        <v>351.351351351351</v>
      </c>
      <c r="N14" s="0" t="n">
        <v>309896</v>
      </c>
      <c r="O14" s="0" t="n">
        <v>46858</v>
      </c>
      <c r="P14" s="0" t="n">
        <v>18322</v>
      </c>
      <c r="Q14" s="0" t="n">
        <v>37</v>
      </c>
      <c r="R14" s="0" t="n">
        <v>0.905</v>
      </c>
      <c r="S14" s="0" t="n">
        <v>0.012</v>
      </c>
      <c r="T14" s="0" t="s">
        <v>34</v>
      </c>
      <c r="U14" s="0" t="n">
        <v>0.3385</v>
      </c>
      <c r="AA14" s="0" t="s">
        <v>85</v>
      </c>
      <c r="AB14" s="0" t="n">
        <f aca="false">FALSE()</f>
        <v>0</v>
      </c>
      <c r="AC14" s="4" t="s">
        <v>86</v>
      </c>
      <c r="AD14" s="4" t="s">
        <v>87</v>
      </c>
      <c r="AE14" s="4" t="s">
        <v>88</v>
      </c>
    </row>
    <row r="15" customFormat="false" ht="15" hidden="false" customHeight="false" outlineLevel="0" collapsed="false">
      <c r="A15" s="0" t="s">
        <v>31</v>
      </c>
      <c r="B15" s="0" t="n">
        <v>6400</v>
      </c>
      <c r="C15" s="0" t="n">
        <v>8000</v>
      </c>
      <c r="D15" s="0" t="s">
        <v>32</v>
      </c>
      <c r="E15" s="0" t="s">
        <v>44</v>
      </c>
      <c r="F15" s="0" t="n">
        <v>3.4</v>
      </c>
      <c r="G15" s="0" t="n">
        <v>0.496</v>
      </c>
      <c r="H15" s="0" t="n">
        <v>0.04</v>
      </c>
      <c r="I15" s="0" t="n">
        <v>0.903</v>
      </c>
      <c r="J15" s="0" t="n">
        <v>0.098553627268519</v>
      </c>
      <c r="K15" s="0" t="n">
        <v>0.766871165644172</v>
      </c>
      <c r="L15" s="0" t="n">
        <v>4.02010050251256</v>
      </c>
      <c r="M15" s="0" t="n">
        <v>4.70311581422693</v>
      </c>
      <c r="N15" s="0" t="n">
        <v>105851</v>
      </c>
      <c r="O15" s="0" t="n">
        <v>10432</v>
      </c>
      <c r="P15" s="0" t="n">
        <v>1990</v>
      </c>
      <c r="Q15" s="0" t="n">
        <v>1701</v>
      </c>
      <c r="R15" s="0" t="n">
        <v>0.77</v>
      </c>
      <c r="S15" s="0" t="n">
        <v>0.123</v>
      </c>
      <c r="T15" s="0" t="s">
        <v>34</v>
      </c>
      <c r="U15" s="0" t="n">
        <v>0.1754</v>
      </c>
      <c r="V15" s="0" t="s">
        <v>89</v>
      </c>
      <c r="W15" s="4" t="s">
        <v>90</v>
      </c>
      <c r="X15" s="4" t="s">
        <v>91</v>
      </c>
      <c r="Y15" s="4" t="s">
        <v>92</v>
      </c>
      <c r="Z15" s="4" t="s">
        <v>93</v>
      </c>
      <c r="AA15" s="0" t="s">
        <v>94</v>
      </c>
      <c r="AB15" s="0" t="n">
        <f aca="false">TRUE()</f>
        <v>1</v>
      </c>
      <c r="AC15" s="4" t="s">
        <v>95</v>
      </c>
      <c r="AD15" s="4" t="s">
        <v>96</v>
      </c>
      <c r="AE15" s="4" t="s">
        <v>97</v>
      </c>
    </row>
    <row r="16" customFormat="false" ht="15" hidden="false" customHeight="false" outlineLevel="0" collapsed="false">
      <c r="A16" s="0" t="s">
        <v>31</v>
      </c>
      <c r="B16" s="0" t="n">
        <v>36000</v>
      </c>
      <c r="C16" s="0" t="n">
        <v>52000</v>
      </c>
      <c r="D16" s="0" t="s">
        <v>98</v>
      </c>
      <c r="E16" s="0" t="s">
        <v>99</v>
      </c>
      <c r="F16" s="0" t="n">
        <v>137</v>
      </c>
      <c r="G16" s="0" t="n">
        <v>0.325</v>
      </c>
      <c r="H16" s="0" t="n">
        <v>0.05</v>
      </c>
      <c r="I16" s="0" t="n">
        <v>0.9172</v>
      </c>
      <c r="J16" s="0" t="n">
        <v>0.152969440549693</v>
      </c>
      <c r="K16" s="0" t="n">
        <v>1.39365351629503</v>
      </c>
      <c r="L16" s="0" t="n">
        <v>5.41553842949386</v>
      </c>
      <c r="N16" s="0" t="n">
        <v>243918</v>
      </c>
      <c r="O16" s="0" t="n">
        <v>37312</v>
      </c>
      <c r="P16" s="0" t="n">
        <v>9602</v>
      </c>
      <c r="Q16" s="0" t="s">
        <v>34</v>
      </c>
      <c r="R16" s="0" t="n">
        <v>0.751</v>
      </c>
      <c r="S16" s="0" t="n">
        <v>0.001</v>
      </c>
      <c r="T16" s="0" t="s">
        <v>34</v>
      </c>
      <c r="U16" s="0" t="s">
        <v>34</v>
      </c>
      <c r="AA16" s="0" t="s">
        <v>100</v>
      </c>
      <c r="AB16" s="0" t="n">
        <f aca="false">FALSE()</f>
        <v>0</v>
      </c>
      <c r="AC16" s="0" t="s">
        <v>100</v>
      </c>
      <c r="AD16" s="4" t="s">
        <v>101</v>
      </c>
      <c r="AE16" s="4" t="s">
        <v>102</v>
      </c>
    </row>
    <row r="17" customFormat="false" ht="15" hidden="false" customHeight="false" outlineLevel="0" collapsed="false">
      <c r="A17" s="0" t="s">
        <v>31</v>
      </c>
      <c r="B17" s="0" t="n">
        <v>9500</v>
      </c>
      <c r="C17" s="0" t="n">
        <v>24900</v>
      </c>
      <c r="D17" s="0" t="s">
        <v>32</v>
      </c>
      <c r="E17" s="0" t="s">
        <v>33</v>
      </c>
      <c r="F17" s="0" t="n">
        <v>13.2</v>
      </c>
      <c r="G17" s="0" t="n">
        <v>0.334</v>
      </c>
      <c r="H17" s="0" t="n">
        <v>0.056</v>
      </c>
      <c r="I17" s="0" t="n">
        <v>0.9242</v>
      </c>
      <c r="J17" s="0" t="n">
        <v>0.192332623391055</v>
      </c>
      <c r="K17" s="0" t="n">
        <v>5.99422243620607</v>
      </c>
      <c r="L17" s="0" t="n">
        <v>73.0205278592375</v>
      </c>
      <c r="M17" s="0" t="n">
        <v>26.7741935483871</v>
      </c>
      <c r="N17" s="0" t="n">
        <v>21598</v>
      </c>
      <c r="O17" s="0" t="n">
        <v>4154</v>
      </c>
      <c r="P17" s="0" t="n">
        <v>341</v>
      </c>
      <c r="Q17" s="0" t="n">
        <v>930</v>
      </c>
      <c r="R17" s="0" t="n">
        <v>0.559</v>
      </c>
      <c r="S17" s="0" t="n">
        <v>0.002</v>
      </c>
      <c r="T17" s="0" t="s">
        <v>34</v>
      </c>
      <c r="U17" s="0" t="n">
        <v>0.2264</v>
      </c>
      <c r="AA17" s="0" t="s">
        <v>103</v>
      </c>
      <c r="AB17" s="0" t="n">
        <f aca="false">FALSE()</f>
        <v>0</v>
      </c>
      <c r="AC17" s="4" t="s">
        <v>104</v>
      </c>
      <c r="AD17" s="4" t="s">
        <v>54</v>
      </c>
      <c r="AE17" s="4" t="s">
        <v>105</v>
      </c>
    </row>
    <row r="18" customFormat="false" ht="15" hidden="false" customHeight="false" outlineLevel="0" collapsed="false">
      <c r="A18" s="0" t="s">
        <v>31</v>
      </c>
      <c r="B18" s="0" t="n">
        <v>10000</v>
      </c>
      <c r="C18" s="0" t="n">
        <v>10000</v>
      </c>
      <c r="D18" s="0" t="s">
        <v>39</v>
      </c>
      <c r="E18" s="0" t="s">
        <v>33</v>
      </c>
      <c r="F18" s="0" t="n">
        <v>14.9</v>
      </c>
      <c r="G18" s="0" t="n">
        <v>0.578</v>
      </c>
      <c r="H18" s="0" t="n">
        <v>0.035</v>
      </c>
      <c r="I18" s="0" t="n">
        <v>0.8985</v>
      </c>
      <c r="J18" s="0" t="n">
        <v>0.268604126502318</v>
      </c>
      <c r="K18" s="0" t="n">
        <v>0.152711390742635</v>
      </c>
      <c r="L18" s="0" t="n">
        <v>1.18567702157932</v>
      </c>
      <c r="N18" s="0" t="n">
        <v>243790</v>
      </c>
      <c r="O18" s="0" t="n">
        <v>65483</v>
      </c>
      <c r="P18" s="0" t="n">
        <v>8434</v>
      </c>
      <c r="Q18" s="0" t="s">
        <v>34</v>
      </c>
      <c r="R18" s="0" t="n">
        <v>0.536</v>
      </c>
      <c r="S18" s="0" t="n">
        <v>0.047</v>
      </c>
      <c r="T18" s="0" t="s">
        <v>34</v>
      </c>
      <c r="U18" s="0" t="s">
        <v>34</v>
      </c>
      <c r="AA18" s="0" t="s">
        <v>106</v>
      </c>
      <c r="AB18" s="0" t="n">
        <f aca="false">FALSE()</f>
        <v>0</v>
      </c>
      <c r="AC18" s="4" t="s">
        <v>107</v>
      </c>
      <c r="AD18" s="4" t="s">
        <v>54</v>
      </c>
      <c r="AE18" s="4" t="s">
        <v>108</v>
      </c>
    </row>
    <row r="19" customFormat="false" ht="15" hidden="false" customHeight="false" outlineLevel="0" collapsed="false">
      <c r="A19" s="0" t="s">
        <v>31</v>
      </c>
      <c r="B19" s="0" t="n">
        <v>7000</v>
      </c>
      <c r="C19" s="0" t="n">
        <v>8000</v>
      </c>
      <c r="D19" s="0" t="s">
        <v>39</v>
      </c>
      <c r="E19" s="0" t="s">
        <v>44</v>
      </c>
      <c r="F19" s="0" t="n">
        <v>2.3</v>
      </c>
      <c r="G19" s="0" t="n">
        <v>0.45</v>
      </c>
      <c r="H19" s="0" t="n">
        <v>0.064</v>
      </c>
      <c r="I19" s="0" t="n">
        <v>0.9547</v>
      </c>
      <c r="J19" s="0" t="n">
        <v>0.227285727905425</v>
      </c>
      <c r="K19" s="0" t="n">
        <v>1.67785234899329</v>
      </c>
      <c r="L19" s="0" t="n">
        <v>16.4609053497942</v>
      </c>
      <c r="N19" s="0" t="n">
        <v>20978</v>
      </c>
      <c r="O19" s="0" t="n">
        <v>4768</v>
      </c>
      <c r="P19" s="0" t="n">
        <v>486</v>
      </c>
      <c r="Q19" s="0" t="s">
        <v>34</v>
      </c>
      <c r="R19" s="0" t="n">
        <v>0.895</v>
      </c>
      <c r="S19" s="0" t="n">
        <v>0.002</v>
      </c>
      <c r="T19" s="0" t="s">
        <v>34</v>
      </c>
      <c r="U19" s="0" t="s">
        <v>34</v>
      </c>
      <c r="AA19" s="0" t="s">
        <v>109</v>
      </c>
      <c r="AB19" s="0" t="n">
        <f aca="false">FALSE()</f>
        <v>0</v>
      </c>
      <c r="AC19" s="4" t="s">
        <v>110</v>
      </c>
      <c r="AD19" s="4" t="s">
        <v>54</v>
      </c>
      <c r="AE19" s="4" t="s">
        <v>111</v>
      </c>
    </row>
    <row r="20" customFormat="false" ht="15" hidden="false" customHeight="false" outlineLevel="0" collapsed="false">
      <c r="A20" s="0" t="s">
        <v>31</v>
      </c>
      <c r="B20" s="0" t="n">
        <v>15000</v>
      </c>
      <c r="C20" s="0" t="n">
        <v>31000</v>
      </c>
      <c r="D20" s="0" t="s">
        <v>39</v>
      </c>
      <c r="E20" s="0" t="s">
        <v>33</v>
      </c>
      <c r="F20" s="0" t="n">
        <v>20.4</v>
      </c>
      <c r="G20" s="0" t="n">
        <v>0.546</v>
      </c>
      <c r="H20" s="0" t="n">
        <v>0.028</v>
      </c>
      <c r="I20" s="0" t="n">
        <v>0.9754</v>
      </c>
      <c r="J20" s="0" t="n">
        <v>0.375309289469566</v>
      </c>
      <c r="K20" s="0" t="n">
        <v>0.349358757635179</v>
      </c>
      <c r="L20" s="0" t="n">
        <v>6.04642090891359</v>
      </c>
      <c r="N20" s="0" t="n">
        <v>236429</v>
      </c>
      <c r="O20" s="0" t="n">
        <v>88734</v>
      </c>
      <c r="P20" s="0" t="n">
        <v>5127</v>
      </c>
      <c r="Q20" s="0" t="s">
        <v>34</v>
      </c>
      <c r="R20" s="0" t="n">
        <v>0.718</v>
      </c>
      <c r="S20" s="0" t="n">
        <v>0.012</v>
      </c>
      <c r="T20" s="0" t="s">
        <v>34</v>
      </c>
      <c r="U20" s="0" t="s">
        <v>34</v>
      </c>
      <c r="V20" s="0" t="s">
        <v>112</v>
      </c>
      <c r="W20" s="4" t="s">
        <v>113</v>
      </c>
      <c r="X20" s="4" t="s">
        <v>114</v>
      </c>
      <c r="Y20" s="0" t="s">
        <v>115</v>
      </c>
      <c r="Z20" s="4" t="s">
        <v>116</v>
      </c>
      <c r="AA20" s="0" t="s">
        <v>117</v>
      </c>
      <c r="AB20" s="0" t="n">
        <f aca="false">FALSE()</f>
        <v>0</v>
      </c>
      <c r="AC20" s="0" t="s">
        <v>117</v>
      </c>
      <c r="AD20" s="4" t="s">
        <v>54</v>
      </c>
      <c r="AE20" s="4" t="s">
        <v>118</v>
      </c>
    </row>
    <row r="21" customFormat="false" ht="15" hidden="false" customHeight="false" outlineLevel="0" collapsed="false">
      <c r="A21" s="0" t="s">
        <v>31</v>
      </c>
      <c r="B21" s="0" t="n">
        <v>30000</v>
      </c>
      <c r="C21" s="0" t="n">
        <v>35000</v>
      </c>
      <c r="D21" s="0" t="s">
        <v>39</v>
      </c>
      <c r="E21" s="0" t="s">
        <v>59</v>
      </c>
      <c r="F21" s="0" t="n">
        <v>78.8</v>
      </c>
      <c r="G21" s="0" t="n">
        <v>0.43</v>
      </c>
      <c r="H21" s="0" t="n">
        <v>0.025</v>
      </c>
      <c r="I21" s="0" t="n">
        <v>0.9738</v>
      </c>
      <c r="J21" s="0" t="n">
        <v>0.137401176960114</v>
      </c>
      <c r="K21" s="0" t="n">
        <v>7.57084144494917</v>
      </c>
      <c r="L21" s="0" t="n">
        <v>30.514385353095</v>
      </c>
      <c r="M21" s="0" t="n">
        <v>145.228215767635</v>
      </c>
      <c r="N21" s="0" t="n">
        <v>33646</v>
      </c>
      <c r="O21" s="0" t="n">
        <v>4623</v>
      </c>
      <c r="P21" s="0" t="n">
        <v>1147</v>
      </c>
      <c r="Q21" s="0" t="n">
        <v>241</v>
      </c>
      <c r="R21" s="0" t="n">
        <v>0.29</v>
      </c>
      <c r="S21" s="0" t="n">
        <v>0.02</v>
      </c>
      <c r="T21" s="0" t="s">
        <v>34</v>
      </c>
      <c r="U21" s="0" t="n">
        <v>0.3448</v>
      </c>
      <c r="AA21" s="0" t="s">
        <v>119</v>
      </c>
      <c r="AB21" s="0" t="n">
        <f aca="false">FALSE()</f>
        <v>0</v>
      </c>
      <c r="AC21" s="4" t="s">
        <v>120</v>
      </c>
      <c r="AD21" s="4" t="s">
        <v>66</v>
      </c>
      <c r="AE21" s="4" t="s">
        <v>121</v>
      </c>
    </row>
    <row r="22" customFormat="false" ht="15" hidden="false" customHeight="false" outlineLevel="0" collapsed="false">
      <c r="AD22" s="4" t="s">
        <v>122</v>
      </c>
      <c r="AE22" s="4" t="s">
        <v>123</v>
      </c>
    </row>
    <row r="23" customFormat="false" ht="15" hidden="false" customHeight="false" outlineLevel="0" collapsed="false">
      <c r="A23" s="0" t="s">
        <v>31</v>
      </c>
      <c r="B23" s="0" t="n">
        <v>39000</v>
      </c>
      <c r="C23" s="0" t="n">
        <v>46000</v>
      </c>
      <c r="D23" s="0" t="s">
        <v>32</v>
      </c>
      <c r="E23" s="0" t="s">
        <v>33</v>
      </c>
      <c r="F23" s="0" t="n">
        <v>33</v>
      </c>
      <c r="G23" s="0" t="n">
        <v>0.476</v>
      </c>
      <c r="H23" s="0" t="n">
        <v>0.019</v>
      </c>
      <c r="I23" s="0" t="n">
        <v>0.9805</v>
      </c>
      <c r="J23" s="0" t="n">
        <v>0.247325385908605</v>
      </c>
      <c r="K23" s="0" t="n">
        <v>2.36881404809722</v>
      </c>
      <c r="L23" s="0" t="n">
        <v>33.2850940665702</v>
      </c>
      <c r="M23" s="0" t="n">
        <v>150.819672131148</v>
      </c>
      <c r="N23" s="0" t="n">
        <v>78516</v>
      </c>
      <c r="O23" s="0" t="n">
        <v>19419</v>
      </c>
      <c r="P23" s="0" t="n">
        <v>1382</v>
      </c>
      <c r="Q23" s="0" t="n">
        <v>305</v>
      </c>
      <c r="R23" s="0" t="n">
        <v>0.59</v>
      </c>
      <c r="S23" s="0" t="n">
        <v>0.015</v>
      </c>
      <c r="T23" s="0" t="s">
        <v>34</v>
      </c>
      <c r="U23" s="0" t="n">
        <v>0.2517</v>
      </c>
      <c r="AA23" s="0" t="s">
        <v>124</v>
      </c>
      <c r="AB23" s="0" t="n">
        <f aca="false">FALSE()</f>
        <v>0</v>
      </c>
      <c r="AC23" s="4" t="s">
        <v>125</v>
      </c>
      <c r="AD23" s="4" t="s">
        <v>126</v>
      </c>
      <c r="AE23" s="4" t="s">
        <v>127</v>
      </c>
    </row>
    <row r="24" customFormat="false" ht="15" hidden="false" customHeight="false" outlineLevel="0" collapsed="false">
      <c r="A24" s="0" t="s">
        <v>31</v>
      </c>
      <c r="B24" s="0" t="n">
        <v>53000</v>
      </c>
      <c r="C24" s="0" t="n">
        <v>63000</v>
      </c>
      <c r="D24" s="0" t="s">
        <v>32</v>
      </c>
      <c r="E24" s="0" t="s">
        <v>59</v>
      </c>
      <c r="F24" s="0" t="n">
        <v>56.8</v>
      </c>
      <c r="G24" s="0" t="n">
        <v>0.497</v>
      </c>
      <c r="H24" s="0" t="n">
        <v>0.02</v>
      </c>
      <c r="I24" s="0" t="n">
        <v>0.9697</v>
      </c>
      <c r="J24" s="0" t="n">
        <v>0.137695914037369</v>
      </c>
      <c r="K24" s="0" t="n">
        <v>3.91425908667288</v>
      </c>
      <c r="L24" s="0" t="n">
        <v>37.2120496160662</v>
      </c>
      <c r="N24" s="0" t="n">
        <v>116888</v>
      </c>
      <c r="O24" s="0" t="n">
        <v>16095</v>
      </c>
      <c r="P24" s="0" t="n">
        <v>1693</v>
      </c>
      <c r="Q24" s="0" t="s">
        <v>34</v>
      </c>
      <c r="R24" s="0" t="n">
        <v>0.329</v>
      </c>
      <c r="S24" s="0" t="n">
        <v>0.083</v>
      </c>
      <c r="T24" s="0" t="s">
        <v>34</v>
      </c>
      <c r="U24" s="0" t="s">
        <v>34</v>
      </c>
      <c r="AA24" s="0" t="s">
        <v>124</v>
      </c>
      <c r="AB24" s="0" t="n">
        <f aca="false">FALSE()</f>
        <v>0</v>
      </c>
      <c r="AC24" s="4" t="s">
        <v>125</v>
      </c>
      <c r="AD24" s="4" t="s">
        <v>126</v>
      </c>
      <c r="AE24" s="4" t="s">
        <v>128</v>
      </c>
    </row>
    <row r="25" customFormat="false" ht="15" hidden="false" customHeight="false" outlineLevel="0" collapsed="false">
      <c r="A25" s="0" t="s">
        <v>31</v>
      </c>
      <c r="B25" s="0" t="n">
        <v>150000</v>
      </c>
      <c r="C25" s="0" t="n">
        <v>150000</v>
      </c>
      <c r="D25" s="0" t="s">
        <v>39</v>
      </c>
      <c r="E25" s="0" t="s">
        <v>59</v>
      </c>
      <c r="F25" s="0" t="n">
        <v>79.9</v>
      </c>
      <c r="G25" s="0" t="n">
        <v>0.447</v>
      </c>
      <c r="H25" s="0" t="n">
        <v>0.042</v>
      </c>
      <c r="I25" s="0" t="n">
        <v>0.9252</v>
      </c>
      <c r="J25" s="0" t="n">
        <v>0.720940708346628</v>
      </c>
      <c r="K25" s="0" t="n">
        <v>0.781026268516831</v>
      </c>
      <c r="L25" s="0" t="n">
        <v>6.95829660899012</v>
      </c>
      <c r="M25" s="0" t="n">
        <v>496.688741721854</v>
      </c>
      <c r="N25" s="0" t="n">
        <v>266395</v>
      </c>
      <c r="O25" s="0" t="n">
        <v>192055</v>
      </c>
      <c r="P25" s="0" t="n">
        <v>21557</v>
      </c>
      <c r="Q25" s="0" t="n">
        <v>302</v>
      </c>
      <c r="R25" s="0" t="n">
        <v>0.879</v>
      </c>
      <c r="S25" s="0" t="n">
        <v>0.001</v>
      </c>
      <c r="T25" s="0" t="s">
        <v>34</v>
      </c>
      <c r="U25" s="0" t="n">
        <v>0.1711</v>
      </c>
      <c r="AA25" s="0" t="s">
        <v>129</v>
      </c>
      <c r="AB25" s="0" t="n">
        <f aca="false">FALSE()</f>
        <v>0</v>
      </c>
      <c r="AC25" s="0" t="s">
        <v>129</v>
      </c>
      <c r="AD25" s="4" t="s">
        <v>122</v>
      </c>
      <c r="AE25" s="4" t="s">
        <v>130</v>
      </c>
    </row>
    <row r="26" customFormat="false" ht="15" hidden="false" customHeight="false" outlineLevel="0" collapsed="false">
      <c r="A26" s="0" t="s">
        <v>31</v>
      </c>
      <c r="B26" s="0" t="n">
        <v>20000</v>
      </c>
      <c r="C26" s="0" t="n">
        <v>20000</v>
      </c>
      <c r="D26" s="0" t="s">
        <v>39</v>
      </c>
      <c r="E26" s="0" t="s">
        <v>59</v>
      </c>
      <c r="F26" s="0" t="n">
        <v>66.5</v>
      </c>
      <c r="G26" s="0" t="n">
        <v>0.335</v>
      </c>
      <c r="H26" s="0" t="n">
        <v>0.046</v>
      </c>
      <c r="I26" s="0" t="n">
        <v>0.9563</v>
      </c>
      <c r="J26" s="0" t="n">
        <v>0.266790549508893</v>
      </c>
      <c r="K26" s="0" t="n">
        <v>1.65837479270315</v>
      </c>
      <c r="L26" s="0" t="n">
        <v>9.50570342205323</v>
      </c>
      <c r="N26" s="0" t="n">
        <v>45204</v>
      </c>
      <c r="O26" s="0" t="n">
        <v>12060</v>
      </c>
      <c r="P26" s="0" t="n">
        <v>2104</v>
      </c>
      <c r="Q26" s="0" t="s">
        <v>34</v>
      </c>
      <c r="R26" s="0" t="n">
        <v>0.431</v>
      </c>
      <c r="S26" s="0" t="n">
        <v>0.041</v>
      </c>
      <c r="T26" s="0" t="s">
        <v>34</v>
      </c>
      <c r="U26" s="0" t="s">
        <v>34</v>
      </c>
      <c r="AA26" s="0" t="s">
        <v>131</v>
      </c>
      <c r="AB26" s="0" t="n">
        <f aca="false">FALSE()</f>
        <v>0</v>
      </c>
      <c r="AC26" s="4" t="s">
        <v>132</v>
      </c>
      <c r="AD26" s="4" t="s">
        <v>133</v>
      </c>
      <c r="AE26" s="4" t="s">
        <v>134</v>
      </c>
    </row>
    <row r="27" customFormat="false" ht="15" hidden="false" customHeight="false" outlineLevel="0" collapsed="false">
      <c r="A27" s="0" t="s">
        <v>31</v>
      </c>
      <c r="B27" s="0" t="n">
        <v>28000</v>
      </c>
      <c r="C27" s="0" t="n">
        <v>30000</v>
      </c>
      <c r="D27" s="0" t="s">
        <v>98</v>
      </c>
      <c r="E27" s="0" t="s">
        <v>33</v>
      </c>
      <c r="F27" s="0" t="n">
        <v>13.2</v>
      </c>
      <c r="G27" s="0" t="n">
        <v>0.312</v>
      </c>
      <c r="H27" s="0" t="n">
        <v>0.089</v>
      </c>
      <c r="I27" s="0" t="n">
        <v>0.7272</v>
      </c>
      <c r="J27" s="0" t="n">
        <v>0.216924019819747</v>
      </c>
      <c r="K27" s="0" t="n">
        <v>0.265705403562224</v>
      </c>
      <c r="L27" s="0" t="n">
        <v>8.76424189307625</v>
      </c>
      <c r="M27" s="0" t="n">
        <v>4.84417891167447</v>
      </c>
      <c r="N27" s="0" t="n">
        <v>520491</v>
      </c>
      <c r="O27" s="0" t="n">
        <v>112907</v>
      </c>
      <c r="P27" s="0" t="n">
        <v>3423</v>
      </c>
      <c r="Q27" s="0" t="n">
        <v>6193</v>
      </c>
      <c r="R27" s="0" t="n">
        <v>0.619</v>
      </c>
      <c r="S27" s="0" t="n">
        <v>0.006</v>
      </c>
      <c r="T27" s="0" t="s">
        <v>34</v>
      </c>
      <c r="U27" s="0" t="s">
        <v>34</v>
      </c>
      <c r="AA27" s="0" t="s">
        <v>135</v>
      </c>
      <c r="AB27" s="0" t="n">
        <f aca="false">FALSE()</f>
        <v>0</v>
      </c>
      <c r="AC27" s="0" t="s">
        <v>70</v>
      </c>
      <c r="AD27" s="0" t="s">
        <v>70</v>
      </c>
      <c r="AE27" s="4" t="s">
        <v>136</v>
      </c>
    </row>
    <row r="28" customFormat="false" ht="15" hidden="false" customHeight="false" outlineLevel="0" collapsed="false">
      <c r="A28" s="0" t="s">
        <v>31</v>
      </c>
      <c r="B28" s="0" t="n">
        <v>6500</v>
      </c>
      <c r="C28" s="0" t="n">
        <v>8000</v>
      </c>
      <c r="D28" s="0" t="s">
        <v>39</v>
      </c>
      <c r="E28" s="0" t="s">
        <v>44</v>
      </c>
      <c r="F28" s="0" t="n">
        <v>4.9</v>
      </c>
      <c r="G28" s="0" t="n">
        <v>0.425</v>
      </c>
      <c r="H28" s="0" t="n">
        <v>0.04</v>
      </c>
      <c r="I28" s="0" t="n">
        <v>0.9324</v>
      </c>
      <c r="J28" s="0" t="n">
        <v>0.381151495657768</v>
      </c>
      <c r="K28" s="0" t="n">
        <v>0.35531867643793</v>
      </c>
      <c r="L28" s="0" t="n">
        <v>7.06713780918728</v>
      </c>
      <c r="N28" s="0" t="n">
        <v>59071</v>
      </c>
      <c r="O28" s="0" t="n">
        <v>22515</v>
      </c>
      <c r="P28" s="0" t="n">
        <v>1132</v>
      </c>
      <c r="Q28" s="0" t="s">
        <v>34</v>
      </c>
      <c r="R28" s="0" t="n">
        <v>0.591</v>
      </c>
      <c r="S28" s="0" t="n">
        <v>0.004</v>
      </c>
      <c r="T28" s="0" t="s">
        <v>34</v>
      </c>
      <c r="U28" s="0" t="n">
        <v>0.0161</v>
      </c>
      <c r="AA28" s="0" t="s">
        <v>137</v>
      </c>
      <c r="AB28" s="0" t="n">
        <f aca="false">FALSE()</f>
        <v>0</v>
      </c>
      <c r="AC28" s="4" t="s">
        <v>138</v>
      </c>
      <c r="AD28" s="0" t="s">
        <v>70</v>
      </c>
      <c r="AE28" s="4" t="s">
        <v>139</v>
      </c>
    </row>
    <row r="29" customFormat="false" ht="15" hidden="false" customHeight="false" outlineLevel="0" collapsed="false">
      <c r="A29" s="0" t="s">
        <v>31</v>
      </c>
      <c r="B29" s="0" t="n">
        <v>28000</v>
      </c>
      <c r="C29" s="0" t="n">
        <v>35000</v>
      </c>
      <c r="D29" s="0" t="s">
        <v>32</v>
      </c>
      <c r="E29" s="0" t="s">
        <v>59</v>
      </c>
      <c r="F29" s="0" t="n">
        <v>50.2</v>
      </c>
      <c r="G29" s="0" t="n">
        <v>0.611</v>
      </c>
      <c r="H29" s="0" t="n">
        <v>0.025</v>
      </c>
      <c r="I29" s="0" t="n">
        <v>0.9765</v>
      </c>
      <c r="J29" s="0" t="n">
        <v>0.082983913614575</v>
      </c>
      <c r="K29" s="0" t="n">
        <v>1.43896723266044</v>
      </c>
      <c r="L29" s="0" t="n">
        <v>6.139273811612</v>
      </c>
      <c r="M29" s="0" t="n">
        <v>91.8635170603675</v>
      </c>
      <c r="N29" s="0" t="n">
        <v>293105</v>
      </c>
      <c r="O29" s="0" t="n">
        <v>24323</v>
      </c>
      <c r="P29" s="0" t="n">
        <v>5701</v>
      </c>
      <c r="Q29" s="0" t="n">
        <v>381</v>
      </c>
      <c r="R29" s="0" t="n">
        <v>0.627</v>
      </c>
      <c r="S29" s="0" t="n">
        <v>0.022</v>
      </c>
      <c r="T29" s="0" t="s">
        <v>34</v>
      </c>
      <c r="U29" s="0" t="n">
        <v>0.413</v>
      </c>
      <c r="AA29" s="0" t="s">
        <v>140</v>
      </c>
      <c r="AB29" s="0" t="n">
        <f aca="false">FALSE()</f>
        <v>0</v>
      </c>
      <c r="AC29" s="4" t="s">
        <v>141</v>
      </c>
      <c r="AD29" s="4" t="s">
        <v>54</v>
      </c>
      <c r="AE29" s="4" t="s">
        <v>142</v>
      </c>
    </row>
    <row r="30" customFormat="false" ht="15" hidden="false" customHeight="false" outlineLevel="0" collapsed="false">
      <c r="A30" s="0" t="s">
        <v>31</v>
      </c>
      <c r="B30" s="0" t="n">
        <v>8000</v>
      </c>
      <c r="C30" s="0" t="n">
        <v>11000</v>
      </c>
      <c r="D30" s="0" t="s">
        <v>32</v>
      </c>
      <c r="E30" s="0" t="s">
        <v>44</v>
      </c>
      <c r="F30" s="0" t="n">
        <v>9</v>
      </c>
      <c r="G30" s="0" t="n">
        <v>0.425</v>
      </c>
      <c r="H30" s="0" t="n">
        <v>0.038</v>
      </c>
      <c r="I30" s="0" t="n">
        <v>0.9424</v>
      </c>
      <c r="J30" s="0" t="n">
        <v>0.22277313632645</v>
      </c>
      <c r="K30" s="0" t="n">
        <v>1.2241264188738</v>
      </c>
      <c r="L30" s="0" t="n">
        <v>10</v>
      </c>
      <c r="N30" s="0" t="n">
        <v>40337</v>
      </c>
      <c r="O30" s="0" t="n">
        <v>8986</v>
      </c>
      <c r="P30" s="0" t="n">
        <v>1100</v>
      </c>
      <c r="Q30" s="0" t="s">
        <v>34</v>
      </c>
      <c r="R30" s="0" t="n">
        <v>0.847</v>
      </c>
      <c r="S30" s="0" t="n">
        <v>0.005</v>
      </c>
      <c r="T30" s="0" t="s">
        <v>34</v>
      </c>
      <c r="U30" s="0" t="n">
        <v>0.048</v>
      </c>
      <c r="AA30" s="0" t="s">
        <v>143</v>
      </c>
      <c r="AB30" s="0" t="n">
        <f aca="false">FALSE()</f>
        <v>0</v>
      </c>
      <c r="AC30" s="4" t="s">
        <v>144</v>
      </c>
      <c r="AD30" s="4" t="s">
        <v>54</v>
      </c>
      <c r="AE30" s="4" t="s">
        <v>145</v>
      </c>
    </row>
    <row r="31" customFormat="false" ht="15" hidden="false" customHeight="false" outlineLevel="0" collapsed="false">
      <c r="A31" s="0" t="s">
        <v>31</v>
      </c>
      <c r="B31" s="0" t="n">
        <v>12000</v>
      </c>
      <c r="C31" s="0" t="n">
        <v>15000</v>
      </c>
      <c r="D31" s="0" t="s">
        <v>39</v>
      </c>
      <c r="E31" s="0" t="s">
        <v>44</v>
      </c>
      <c r="F31" s="0" t="n">
        <v>9.4</v>
      </c>
      <c r="G31" s="0" t="n">
        <v>0.483</v>
      </c>
      <c r="H31" s="0" t="n">
        <v>0.043</v>
      </c>
      <c r="I31" s="0" t="n">
        <v>0.7621</v>
      </c>
      <c r="J31" s="0" t="n">
        <v>0.186303902463399</v>
      </c>
      <c r="K31" s="0" t="n">
        <v>2.01153278798444</v>
      </c>
      <c r="L31" s="0" t="n">
        <v>10.1971447994562</v>
      </c>
      <c r="M31" s="0" t="n">
        <v>365.853658536585</v>
      </c>
      <c r="N31" s="0" t="n">
        <v>40026</v>
      </c>
      <c r="O31" s="0" t="n">
        <v>7457</v>
      </c>
      <c r="P31" s="0" t="n">
        <v>1471</v>
      </c>
      <c r="Q31" s="0" t="n">
        <v>41</v>
      </c>
      <c r="R31" s="0" t="n">
        <v>0.523</v>
      </c>
      <c r="S31" s="0" t="n">
        <v>0.008</v>
      </c>
      <c r="T31" s="0" t="s">
        <v>34</v>
      </c>
      <c r="U31" s="0" t="n">
        <v>0.5294</v>
      </c>
      <c r="AA31" s="0" t="s">
        <v>146</v>
      </c>
      <c r="AB31" s="0" t="n">
        <f aca="false">FALSE()</f>
        <v>0</v>
      </c>
      <c r="AC31" s="4" t="s">
        <v>147</v>
      </c>
      <c r="AD31" s="4" t="s">
        <v>133</v>
      </c>
      <c r="AE31" s="4" t="s">
        <v>148</v>
      </c>
    </row>
    <row r="32" customFormat="false" ht="15" hidden="false" customHeight="false" outlineLevel="0" collapsed="false">
      <c r="A32" s="0" t="s">
        <v>31</v>
      </c>
      <c r="B32" s="0" t="n">
        <v>22400</v>
      </c>
      <c r="C32" s="0" t="n">
        <v>28000</v>
      </c>
      <c r="D32" s="0" t="s">
        <v>32</v>
      </c>
      <c r="E32" s="0" t="s">
        <v>33</v>
      </c>
      <c r="F32" s="0" t="n">
        <v>31.4</v>
      </c>
      <c r="G32" s="0" t="n">
        <v>0.548</v>
      </c>
      <c r="H32" s="0" t="n">
        <v>0.039</v>
      </c>
      <c r="I32" s="0" t="n">
        <v>0.9757</v>
      </c>
      <c r="J32" s="0" t="n">
        <v>0.270081383052094</v>
      </c>
      <c r="K32" s="0" t="n">
        <v>4.76676881171263</v>
      </c>
      <c r="L32" s="0" t="n">
        <v>9.27766732935719</v>
      </c>
      <c r="M32" s="0" t="n">
        <v>110.236220472441</v>
      </c>
      <c r="N32" s="0" t="n">
        <v>21749</v>
      </c>
      <c r="O32" s="0" t="n">
        <v>5874</v>
      </c>
      <c r="P32" s="0" t="n">
        <v>3018</v>
      </c>
      <c r="Q32" s="0" t="n">
        <v>254</v>
      </c>
      <c r="R32" s="0" t="n">
        <v>0.431</v>
      </c>
      <c r="S32" s="0" t="n">
        <v>0.119</v>
      </c>
      <c r="T32" s="0" t="s">
        <v>34</v>
      </c>
      <c r="U32" s="0" t="n">
        <v>0.3235</v>
      </c>
      <c r="AA32" s="0" t="s">
        <v>146</v>
      </c>
      <c r="AB32" s="0" t="n">
        <f aca="false">FALSE()</f>
        <v>0</v>
      </c>
      <c r="AC32" s="4" t="s">
        <v>147</v>
      </c>
      <c r="AD32" s="4" t="s">
        <v>133</v>
      </c>
      <c r="AE32" s="4" t="s">
        <v>148</v>
      </c>
    </row>
    <row r="33" customFormat="false" ht="15" hidden="false" customHeight="false" outlineLevel="0" collapsed="false">
      <c r="A33" s="0" t="s">
        <v>31</v>
      </c>
      <c r="B33" s="0" t="n">
        <v>28000</v>
      </c>
      <c r="C33" s="0" t="n">
        <v>35000</v>
      </c>
      <c r="D33" s="0" t="s">
        <v>32</v>
      </c>
      <c r="E33" s="0" t="s">
        <v>33</v>
      </c>
      <c r="F33" s="0" t="n">
        <v>14.1</v>
      </c>
      <c r="G33" s="0" t="n">
        <v>0.532</v>
      </c>
      <c r="H33" s="0" t="n">
        <v>0.026</v>
      </c>
      <c r="I33" s="0" t="n">
        <v>0.4697</v>
      </c>
      <c r="J33" s="0" t="n">
        <v>0.126362185276904</v>
      </c>
      <c r="K33" s="0" t="n">
        <v>1.81941051099444</v>
      </c>
      <c r="L33" s="0" t="n">
        <v>10.4415274463007</v>
      </c>
      <c r="N33" s="0" t="n">
        <v>152237</v>
      </c>
      <c r="O33" s="0" t="n">
        <v>19237</v>
      </c>
      <c r="P33" s="0" t="n">
        <v>3352</v>
      </c>
      <c r="Q33" s="0" t="s">
        <v>34</v>
      </c>
      <c r="R33" s="0" t="n">
        <v>0.756</v>
      </c>
      <c r="S33" s="0" t="n">
        <v>0.047</v>
      </c>
      <c r="T33" s="0" t="s">
        <v>34</v>
      </c>
      <c r="U33" s="0" t="n">
        <v>0.0961</v>
      </c>
      <c r="AA33" s="0" t="s">
        <v>149</v>
      </c>
      <c r="AB33" s="0" t="n">
        <f aca="false">FALSE()</f>
        <v>0</v>
      </c>
      <c r="AC33" s="4" t="s">
        <v>150</v>
      </c>
      <c r="AD33" s="4" t="s">
        <v>54</v>
      </c>
      <c r="AE33" s="4" t="s">
        <v>151</v>
      </c>
    </row>
    <row r="34" customFormat="false" ht="15" hidden="false" customHeight="false" outlineLevel="0" collapsed="false">
      <c r="A34" s="0" t="s">
        <v>31</v>
      </c>
      <c r="B34" s="0" t="n">
        <v>15000</v>
      </c>
      <c r="C34" s="0" t="n">
        <v>19800</v>
      </c>
      <c r="D34" s="0" t="s">
        <v>39</v>
      </c>
      <c r="E34" s="0" t="s">
        <v>33</v>
      </c>
      <c r="F34" s="0" t="n">
        <v>15.3</v>
      </c>
      <c r="G34" s="0" t="n">
        <v>0.437</v>
      </c>
      <c r="H34" s="0" t="n">
        <v>0.043</v>
      </c>
      <c r="I34" s="0" t="n">
        <v>0.9512</v>
      </c>
      <c r="J34" s="0" t="n">
        <v>0.238782401671404</v>
      </c>
      <c r="K34" s="0" t="n">
        <v>2.01444704446027</v>
      </c>
      <c r="L34" s="0" t="n">
        <v>7.44360902255639</v>
      </c>
      <c r="M34" s="0" t="n">
        <v>250.632911392405</v>
      </c>
      <c r="N34" s="0" t="n">
        <v>41163</v>
      </c>
      <c r="O34" s="0" t="n">
        <v>9829</v>
      </c>
      <c r="P34" s="0" t="n">
        <v>2660</v>
      </c>
      <c r="Q34" s="0" t="n">
        <v>79</v>
      </c>
      <c r="R34" s="0" t="n">
        <v>0.748</v>
      </c>
      <c r="S34" s="0" t="n">
        <v>0.017</v>
      </c>
      <c r="T34" s="0" t="s">
        <v>34</v>
      </c>
      <c r="U34" s="0" t="n">
        <v>0.4286</v>
      </c>
      <c r="AA34" s="0" t="s">
        <v>152</v>
      </c>
      <c r="AB34" s="0" t="n">
        <f aca="false">FALSE()</f>
        <v>0</v>
      </c>
      <c r="AC34" s="4" t="s">
        <v>153</v>
      </c>
      <c r="AD34" s="0" t="s">
        <v>70</v>
      </c>
      <c r="AE34" s="4" t="s">
        <v>154</v>
      </c>
    </row>
    <row r="35" customFormat="false" ht="15" hidden="false" customHeight="false" outlineLevel="0" collapsed="false">
      <c r="A35" s="0" t="s">
        <v>31</v>
      </c>
      <c r="B35" s="0" t="n">
        <v>15000</v>
      </c>
      <c r="C35" s="0" t="n">
        <v>23000</v>
      </c>
      <c r="D35" s="0" t="s">
        <v>32</v>
      </c>
      <c r="E35" s="0" t="s">
        <v>33</v>
      </c>
      <c r="F35" s="0" t="n">
        <v>10.1</v>
      </c>
      <c r="G35" s="0" t="n">
        <v>0.34</v>
      </c>
      <c r="H35" s="0" t="n">
        <v>0.051</v>
      </c>
      <c r="I35" s="0" t="n">
        <v>0.9216</v>
      </c>
      <c r="J35" s="0" t="n">
        <v>0.168041311919505</v>
      </c>
      <c r="K35" s="0" t="n">
        <v>1.6552716804606</v>
      </c>
      <c r="L35" s="0" t="n">
        <v>6.96969696969697</v>
      </c>
      <c r="M35" s="0" t="n">
        <v>44.5736434108527</v>
      </c>
      <c r="N35" s="0" t="n">
        <v>82688</v>
      </c>
      <c r="O35" s="0" t="n">
        <v>13895</v>
      </c>
      <c r="P35" s="0" t="n">
        <v>3300</v>
      </c>
      <c r="Q35" s="0" t="n">
        <v>516</v>
      </c>
      <c r="R35" s="0" t="n">
        <v>0.863</v>
      </c>
      <c r="S35" s="0" t="n">
        <v>0.032</v>
      </c>
      <c r="T35" s="0" t="s">
        <v>34</v>
      </c>
      <c r="U35" s="0" t="n">
        <v>0.4373</v>
      </c>
      <c r="AA35" s="0" t="s">
        <v>155</v>
      </c>
      <c r="AB35" s="0" t="n">
        <f aca="false">FALSE()</f>
        <v>0</v>
      </c>
      <c r="AC35" s="4" t="s">
        <v>156</v>
      </c>
      <c r="AD35" s="4" t="s">
        <v>157</v>
      </c>
      <c r="AE35" s="4" t="s">
        <v>158</v>
      </c>
    </row>
    <row r="36" customFormat="false" ht="15" hidden="false" customHeight="false" outlineLevel="0" collapsed="false">
      <c r="AD36" s="4" t="s">
        <v>122</v>
      </c>
      <c r="AE36" s="4" t="s">
        <v>159</v>
      </c>
    </row>
    <row r="37" customFormat="false" ht="15" hidden="false" customHeight="false" outlineLevel="0" collapsed="false">
      <c r="A37" s="0" t="s">
        <v>31</v>
      </c>
      <c r="B37" s="0" t="n">
        <v>6000</v>
      </c>
      <c r="C37" s="0" t="n">
        <v>4800</v>
      </c>
      <c r="D37" s="0" t="s">
        <v>32</v>
      </c>
      <c r="E37" s="0" t="s">
        <v>44</v>
      </c>
      <c r="F37" s="0" t="n">
        <v>6.1</v>
      </c>
      <c r="G37" s="0" t="n">
        <v>0.472</v>
      </c>
      <c r="H37" s="0" t="n">
        <v>0.027</v>
      </c>
      <c r="I37" s="0" t="n">
        <v>0.9741</v>
      </c>
      <c r="J37" s="0" t="n">
        <v>0.646493079990617</v>
      </c>
      <c r="K37" s="0" t="n">
        <v>2.17706821480406</v>
      </c>
      <c r="L37" s="0" t="n">
        <v>26.0869565217391</v>
      </c>
      <c r="N37" s="0" t="n">
        <v>4263</v>
      </c>
      <c r="O37" s="0" t="n">
        <v>2756</v>
      </c>
      <c r="P37" s="0" t="n">
        <v>230</v>
      </c>
      <c r="Q37" s="0" t="s">
        <v>34</v>
      </c>
      <c r="R37" s="0" t="n">
        <v>0.698</v>
      </c>
      <c r="S37" s="0" t="n">
        <v>0.04</v>
      </c>
      <c r="T37" s="0" t="n">
        <v>0.1694</v>
      </c>
      <c r="U37" s="0" t="s">
        <v>34</v>
      </c>
      <c r="AA37" s="0" t="s">
        <v>160</v>
      </c>
      <c r="AB37" s="0" t="n">
        <f aca="false">FALSE()</f>
        <v>0</v>
      </c>
      <c r="AC37" s="0" t="s">
        <v>161</v>
      </c>
      <c r="AD37" s="4" t="s">
        <v>74</v>
      </c>
      <c r="AE37" s="4" t="s">
        <v>162</v>
      </c>
    </row>
    <row r="38" customFormat="false" ht="15" hidden="false" customHeight="false" outlineLevel="0" collapsed="false">
      <c r="A38" s="0" t="s">
        <v>31</v>
      </c>
      <c r="B38" s="0" t="n">
        <v>8000</v>
      </c>
      <c r="C38" s="0" t="n">
        <v>9500</v>
      </c>
      <c r="D38" s="0" t="s">
        <v>32</v>
      </c>
      <c r="E38" s="0" t="s">
        <v>44</v>
      </c>
      <c r="F38" s="0" t="n">
        <v>5.6</v>
      </c>
      <c r="G38" s="0" t="n">
        <v>0.511</v>
      </c>
      <c r="H38" s="0" t="n">
        <v>0.023</v>
      </c>
      <c r="I38" s="0" t="n">
        <v>0.9231</v>
      </c>
      <c r="J38" s="0" t="n">
        <v>0.202979089086222</v>
      </c>
      <c r="K38" s="0" t="n">
        <v>0.893781164737981</v>
      </c>
      <c r="L38" s="0" t="n">
        <v>9.26829268292683</v>
      </c>
      <c r="M38" s="0" t="n">
        <v>32.2033898305085</v>
      </c>
      <c r="N38" s="0" t="n">
        <v>52365</v>
      </c>
      <c r="O38" s="0" t="n">
        <v>10629</v>
      </c>
      <c r="P38" s="0" t="n">
        <v>1025</v>
      </c>
      <c r="Q38" s="0" t="n">
        <v>295</v>
      </c>
      <c r="R38" s="0" t="n">
        <v>0.851</v>
      </c>
      <c r="S38" s="0" t="n">
        <v>0.11</v>
      </c>
      <c r="T38" s="0" t="n">
        <v>0.8168</v>
      </c>
      <c r="U38" s="0" t="n">
        <v>0.8327</v>
      </c>
      <c r="AA38" s="0" t="s">
        <v>163</v>
      </c>
      <c r="AB38" s="0" t="n">
        <f aca="false">FALSE()</f>
        <v>0</v>
      </c>
      <c r="AC38" s="0" t="s">
        <v>164</v>
      </c>
      <c r="AD38" s="4" t="s">
        <v>54</v>
      </c>
      <c r="AE38" s="4" t="s">
        <v>165</v>
      </c>
    </row>
    <row r="39" customFormat="false" ht="15" hidden="false" customHeight="false" outlineLevel="0" collapsed="false">
      <c r="A39" s="0" t="s">
        <v>31</v>
      </c>
      <c r="B39" s="0" t="n">
        <v>6700</v>
      </c>
      <c r="C39" s="0" t="n">
        <v>7100</v>
      </c>
      <c r="D39" s="0" t="s">
        <v>32</v>
      </c>
      <c r="E39" s="0" t="s">
        <v>44</v>
      </c>
      <c r="F39" s="0" t="n">
        <v>5.4</v>
      </c>
      <c r="G39" s="0" t="n">
        <v>0.361</v>
      </c>
      <c r="H39" s="0" t="n">
        <v>0.025</v>
      </c>
      <c r="I39" s="0" t="n">
        <v>0.9734</v>
      </c>
      <c r="J39" s="0" t="n">
        <v>0.0847355769230769</v>
      </c>
      <c r="K39" s="0" t="n">
        <v>1.90070921985816</v>
      </c>
      <c r="L39" s="0" t="n">
        <v>23.1034482758621</v>
      </c>
      <c r="M39" s="0" t="n">
        <v>15.952380952381</v>
      </c>
      <c r="N39" s="0" t="n">
        <v>41600</v>
      </c>
      <c r="O39" s="0" t="n">
        <v>3525</v>
      </c>
      <c r="P39" s="0" t="n">
        <v>290</v>
      </c>
      <c r="Q39" s="0" t="n">
        <v>420</v>
      </c>
      <c r="R39" s="0" t="n">
        <v>0.664</v>
      </c>
      <c r="S39" s="0" t="n">
        <v>0.295</v>
      </c>
      <c r="T39" s="0" t="n">
        <v>0.3173</v>
      </c>
      <c r="U39" s="0" t="n">
        <v>0.7467</v>
      </c>
      <c r="AA39" s="0" t="s">
        <v>166</v>
      </c>
      <c r="AB39" s="0" t="n">
        <f aca="false">FALSE()</f>
        <v>0</v>
      </c>
      <c r="AC39" s="4" t="s">
        <v>167</v>
      </c>
      <c r="AD39" s="4" t="s">
        <v>133</v>
      </c>
      <c r="AE39" s="4" t="s">
        <v>168</v>
      </c>
    </row>
    <row r="40" customFormat="false" ht="15" hidden="false" customHeight="false" outlineLevel="0" collapsed="false">
      <c r="A40" s="0" t="s">
        <v>31</v>
      </c>
      <c r="B40" s="0" t="n">
        <v>15000</v>
      </c>
      <c r="C40" s="0" t="n">
        <v>13260</v>
      </c>
      <c r="D40" s="0" t="s">
        <v>32</v>
      </c>
      <c r="E40" s="0" t="s">
        <v>33</v>
      </c>
      <c r="F40" s="0" t="n">
        <v>13.9</v>
      </c>
      <c r="G40" s="0" t="n">
        <v>0.31</v>
      </c>
      <c r="H40" s="0" t="n">
        <v>0.074</v>
      </c>
      <c r="I40" s="0" t="n">
        <v>0.8542</v>
      </c>
      <c r="J40" s="0" t="n">
        <v>0.167495198969298</v>
      </c>
      <c r="K40" s="0" t="n">
        <v>0.544247305975835</v>
      </c>
      <c r="L40" s="0" t="n">
        <v>13.6612021857924</v>
      </c>
      <c r="M40" s="0" t="n">
        <v>57.2519083969466</v>
      </c>
      <c r="N40" s="0" t="n">
        <v>164548</v>
      </c>
      <c r="O40" s="0" t="n">
        <v>27561</v>
      </c>
      <c r="P40" s="0" t="n">
        <v>1098</v>
      </c>
      <c r="Q40" s="0" t="n">
        <v>262</v>
      </c>
      <c r="R40" s="0" t="n">
        <v>0.939</v>
      </c>
      <c r="S40" s="0" t="n">
        <v>0.039</v>
      </c>
      <c r="T40" s="0" t="n">
        <v>0.347</v>
      </c>
      <c r="U40" s="0" t="s">
        <v>34</v>
      </c>
      <c r="AA40" s="4" t="s">
        <v>169</v>
      </c>
      <c r="AB40" s="0" t="n">
        <f aca="false">FALSE()</f>
        <v>0</v>
      </c>
      <c r="AC40" s="4" t="s">
        <v>169</v>
      </c>
      <c r="AD40" s="4" t="s">
        <v>122</v>
      </c>
      <c r="AE40" s="4" t="s">
        <v>170</v>
      </c>
    </row>
    <row r="41" customFormat="false" ht="15" hidden="false" customHeight="false" outlineLevel="0" collapsed="false">
      <c r="A41" s="0" t="s">
        <v>31</v>
      </c>
      <c r="B41" s="0" t="n">
        <v>6500</v>
      </c>
      <c r="C41" s="0" t="n">
        <v>14000</v>
      </c>
      <c r="D41" s="0" t="s">
        <v>32</v>
      </c>
      <c r="E41" s="0" t="s">
        <v>44</v>
      </c>
      <c r="F41" s="0" t="n">
        <v>8.6</v>
      </c>
      <c r="G41" s="0" t="n">
        <v>0.306</v>
      </c>
      <c r="H41" s="0" t="n">
        <v>0.061</v>
      </c>
      <c r="I41" s="0" t="n">
        <v>0.9611</v>
      </c>
      <c r="J41" s="0" t="n">
        <v>0.160287217242124</v>
      </c>
      <c r="K41" s="0" t="n">
        <v>0.992344768925432</v>
      </c>
      <c r="L41" s="0" t="n">
        <v>11.4566284779051</v>
      </c>
      <c r="M41" s="0" t="n">
        <v>29.6610169491525</v>
      </c>
      <c r="N41" s="0" t="n">
        <v>88017</v>
      </c>
      <c r="O41" s="0" t="n">
        <v>14108</v>
      </c>
      <c r="P41" s="0" t="n">
        <v>1222</v>
      </c>
      <c r="Q41" s="0" t="n">
        <v>472</v>
      </c>
      <c r="R41" s="0" t="n">
        <v>0.844</v>
      </c>
      <c r="S41" s="0" t="n">
        <v>0.014</v>
      </c>
      <c r="T41" s="0" t="s">
        <v>34</v>
      </c>
      <c r="U41" s="0" t="n">
        <v>0.44</v>
      </c>
      <c r="AA41" s="0" t="s">
        <v>171</v>
      </c>
      <c r="AB41" s="0" t="n">
        <f aca="false">FALSE()</f>
        <v>0</v>
      </c>
      <c r="AC41" s="4" t="s">
        <v>172</v>
      </c>
      <c r="AD41" s="4" t="s">
        <v>173</v>
      </c>
      <c r="AE41" s="4" t="s">
        <v>174</v>
      </c>
    </row>
    <row r="42" customFormat="false" ht="15" hidden="false" customHeight="false" outlineLevel="0" collapsed="false">
      <c r="A42" s="0" t="s">
        <v>31</v>
      </c>
      <c r="B42" s="0" t="n">
        <v>18000</v>
      </c>
      <c r="C42" s="0" t="n">
        <v>25000</v>
      </c>
      <c r="D42" s="0" t="s">
        <v>32</v>
      </c>
      <c r="E42" s="0" t="s">
        <v>44</v>
      </c>
      <c r="F42" s="0" t="n">
        <v>7.9</v>
      </c>
      <c r="G42" s="0" t="n">
        <v>0.312</v>
      </c>
      <c r="H42" s="0" t="n">
        <v>0.033</v>
      </c>
      <c r="I42" s="0" t="n">
        <v>0.8712</v>
      </c>
      <c r="J42" s="0" t="n">
        <v>0.116321545170202</v>
      </c>
      <c r="K42" s="0" t="n">
        <v>3.53287536800785</v>
      </c>
      <c r="L42" s="0" t="n">
        <v>30.9810671256454</v>
      </c>
      <c r="M42" s="0" t="n">
        <v>22.5563909774436</v>
      </c>
      <c r="N42" s="0" t="n">
        <v>43801</v>
      </c>
      <c r="O42" s="0" t="n">
        <v>5095</v>
      </c>
      <c r="P42" s="0" t="n">
        <v>581</v>
      </c>
      <c r="Q42" s="0" t="n">
        <v>798</v>
      </c>
      <c r="R42" s="0" t="n">
        <v>0.818</v>
      </c>
      <c r="S42" s="0" t="n">
        <v>0.042</v>
      </c>
      <c r="T42" s="0" t="n">
        <v>0.1661</v>
      </c>
      <c r="U42" s="0" t="s">
        <v>34</v>
      </c>
      <c r="AA42" s="0" t="s">
        <v>175</v>
      </c>
      <c r="AB42" s="0" t="n">
        <f aca="false">FALSE()</f>
        <v>0</v>
      </c>
      <c r="AC42" s="4" t="s">
        <v>176</v>
      </c>
      <c r="AD42" s="4" t="s">
        <v>54</v>
      </c>
      <c r="AE42" s="4" t="s">
        <v>177</v>
      </c>
    </row>
    <row r="43" customFormat="false" ht="15" hidden="false" customHeight="false" outlineLevel="0" collapsed="false">
      <c r="A43" s="0" t="s">
        <v>31</v>
      </c>
      <c r="B43" s="0" t="n">
        <v>18000</v>
      </c>
      <c r="C43" s="0" t="n">
        <v>10000</v>
      </c>
      <c r="D43" s="0" t="s">
        <v>32</v>
      </c>
      <c r="E43" s="0" t="s">
        <v>44</v>
      </c>
      <c r="F43" s="0" t="n">
        <v>2.9</v>
      </c>
      <c r="G43" s="0" t="n">
        <v>0.314</v>
      </c>
      <c r="H43" s="0" t="n">
        <v>0.037</v>
      </c>
      <c r="I43" s="0" t="n">
        <v>0.9099</v>
      </c>
      <c r="J43" s="0" t="n">
        <v>0.13745729986633</v>
      </c>
      <c r="K43" s="0" t="n">
        <v>3.24149108589951</v>
      </c>
      <c r="L43" s="0" t="n">
        <v>39.3873085339168</v>
      </c>
      <c r="M43" s="0" t="n">
        <v>9.41915227629513</v>
      </c>
      <c r="N43" s="0" t="n">
        <v>40398</v>
      </c>
      <c r="O43" s="0" t="n">
        <v>5553</v>
      </c>
      <c r="P43" s="0" t="n">
        <v>457</v>
      </c>
      <c r="Q43" s="0" t="n">
        <v>1911</v>
      </c>
      <c r="R43" s="0" t="n">
        <v>0.838</v>
      </c>
      <c r="S43" s="0" t="n">
        <v>0.011</v>
      </c>
      <c r="T43" s="0" t="n">
        <v>0.4487</v>
      </c>
      <c r="U43" s="0" t="s">
        <v>34</v>
      </c>
      <c r="AA43" s="0" t="s">
        <v>178</v>
      </c>
      <c r="AB43" s="0" t="n">
        <f aca="false">FALSE()</f>
        <v>0</v>
      </c>
      <c r="AC43" s="4" t="s">
        <v>179</v>
      </c>
      <c r="AD43" s="4" t="s">
        <v>173</v>
      </c>
      <c r="AE43" s="4" t="s">
        <v>180</v>
      </c>
    </row>
    <row r="44" customFormat="false" ht="15" hidden="false" customHeight="false" outlineLevel="0" collapsed="false">
      <c r="A44" s="0" t="s">
        <v>31</v>
      </c>
      <c r="B44" s="0" t="n">
        <v>10000</v>
      </c>
      <c r="C44" s="0" t="n">
        <v>12000</v>
      </c>
      <c r="D44" s="0" t="s">
        <v>32</v>
      </c>
      <c r="E44" s="0" t="s">
        <v>33</v>
      </c>
      <c r="F44" s="0" t="n">
        <v>20.9</v>
      </c>
      <c r="G44" s="0" t="n">
        <v>0.325</v>
      </c>
      <c r="H44" s="0" t="n">
        <v>0.063</v>
      </c>
      <c r="I44" s="0" t="n">
        <v>0.8809</v>
      </c>
      <c r="J44" s="0" t="n">
        <v>0.300479452054795</v>
      </c>
      <c r="K44" s="0" t="n">
        <v>1.36767722817415</v>
      </c>
      <c r="L44" s="0" t="n">
        <v>5.78034682080925</v>
      </c>
      <c r="M44" s="0" t="n">
        <v>13.0434782608696</v>
      </c>
      <c r="N44" s="0" t="n">
        <v>29200</v>
      </c>
      <c r="O44" s="0" t="n">
        <v>8774</v>
      </c>
      <c r="P44" s="0" t="n">
        <v>2076</v>
      </c>
      <c r="Q44" s="0" t="n">
        <v>920</v>
      </c>
      <c r="R44" s="0" t="n">
        <v>0.653</v>
      </c>
      <c r="S44" s="0" t="n">
        <v>0.088</v>
      </c>
      <c r="T44" s="0" t="s">
        <v>34</v>
      </c>
      <c r="U44" s="0" t="n">
        <v>0.3421</v>
      </c>
      <c r="V44" s="0" t="s">
        <v>45</v>
      </c>
      <c r="W44" s="4" t="s">
        <v>181</v>
      </c>
      <c r="X44" s="4" t="s">
        <v>182</v>
      </c>
      <c r="Y44" s="4" t="s">
        <v>183</v>
      </c>
      <c r="Z44" s="4" t="s">
        <v>184</v>
      </c>
      <c r="AA44" s="0" t="s">
        <v>185</v>
      </c>
      <c r="AB44" s="0" t="n">
        <f aca="false">FALSE()</f>
        <v>0</v>
      </c>
      <c r="AC44" s="0" t="s">
        <v>185</v>
      </c>
      <c r="AD44" s="4" t="s">
        <v>87</v>
      </c>
      <c r="AE44" s="4" t="s">
        <v>186</v>
      </c>
    </row>
    <row r="45" customFormat="false" ht="15" hidden="false" customHeight="false" outlineLevel="0" collapsed="false">
      <c r="A45" s="0" t="s">
        <v>31</v>
      </c>
      <c r="B45" s="0" t="n">
        <v>15000</v>
      </c>
      <c r="C45" s="0" t="n">
        <v>28000</v>
      </c>
      <c r="D45" s="0" t="s">
        <v>39</v>
      </c>
      <c r="E45" s="0" t="s">
        <v>33</v>
      </c>
      <c r="F45" s="0" t="n">
        <v>14.7</v>
      </c>
      <c r="G45" s="0" t="n">
        <v>0.391</v>
      </c>
      <c r="H45" s="0" t="n">
        <v>0.047</v>
      </c>
      <c r="I45" s="0" t="n">
        <v>0.9299</v>
      </c>
      <c r="J45" s="0" t="n">
        <v>0.131032731138088</v>
      </c>
      <c r="K45" s="0" t="n">
        <v>0.538425643418644</v>
      </c>
      <c r="L45" s="0" t="n">
        <v>4.62820117247763</v>
      </c>
      <c r="M45" s="0" t="n">
        <v>47.1698113207547</v>
      </c>
      <c r="N45" s="0" t="n">
        <v>212611</v>
      </c>
      <c r="O45" s="0" t="n">
        <v>27859</v>
      </c>
      <c r="P45" s="0" t="n">
        <v>3241</v>
      </c>
      <c r="Q45" s="0" t="n">
        <v>318</v>
      </c>
      <c r="R45" s="0" t="n">
        <v>0.953</v>
      </c>
      <c r="S45" s="0" t="n">
        <v>0.007</v>
      </c>
      <c r="T45" s="0" t="s">
        <v>34</v>
      </c>
      <c r="U45" s="0" t="n">
        <v>0.2724</v>
      </c>
      <c r="AA45" s="0" t="s">
        <v>187</v>
      </c>
      <c r="AB45" s="0" t="n">
        <f aca="false">FALSE()</f>
        <v>0</v>
      </c>
      <c r="AC45" s="4" t="s">
        <v>188</v>
      </c>
      <c r="AD45" s="4" t="s">
        <v>189</v>
      </c>
      <c r="AE45" s="4" t="s">
        <v>190</v>
      </c>
    </row>
    <row r="46" customFormat="false" ht="15" hidden="false" customHeight="false" outlineLevel="0" collapsed="false">
      <c r="A46" s="0" t="s">
        <v>31</v>
      </c>
      <c r="B46" s="0" t="n">
        <v>15000</v>
      </c>
      <c r="C46" s="0" t="n">
        <v>18000</v>
      </c>
      <c r="D46" s="0" t="s">
        <v>32</v>
      </c>
      <c r="E46" s="0" t="s">
        <v>44</v>
      </c>
      <c r="F46" s="0" t="n">
        <v>9.1</v>
      </c>
      <c r="G46" s="0" t="n">
        <v>0.235</v>
      </c>
      <c r="H46" s="0" t="n">
        <v>0.094</v>
      </c>
      <c r="I46" s="0" t="n">
        <v>0.9272</v>
      </c>
      <c r="J46" s="0" t="n">
        <v>0.182056749220928</v>
      </c>
      <c r="K46" s="0" t="n">
        <v>6.75675675675676</v>
      </c>
      <c r="L46" s="0" t="n">
        <v>9.33997509339975</v>
      </c>
      <c r="M46" s="0" t="n">
        <v>1071.42857142857</v>
      </c>
      <c r="N46" s="0" t="n">
        <v>12194</v>
      </c>
      <c r="O46" s="0" t="n">
        <v>2220</v>
      </c>
      <c r="P46" s="0" t="n">
        <v>1606</v>
      </c>
      <c r="Q46" s="0" t="n">
        <v>14</v>
      </c>
      <c r="R46" s="0" t="n">
        <v>0.84</v>
      </c>
      <c r="S46" s="0" t="n">
        <v>0.024</v>
      </c>
      <c r="AA46" s="0" t="s">
        <v>191</v>
      </c>
      <c r="AB46" s="0" t="n">
        <f aca="false">FALSE()</f>
        <v>0</v>
      </c>
      <c r="AC46" s="0" t="s">
        <v>191</v>
      </c>
      <c r="AD46" s="4" t="s">
        <v>87</v>
      </c>
      <c r="AE46" s="4" t="s">
        <v>192</v>
      </c>
    </row>
    <row r="47" customFormat="false" ht="15" hidden="false" customHeight="false" outlineLevel="0" collapsed="false">
      <c r="AD47" s="4" t="s">
        <v>122</v>
      </c>
      <c r="AE47" s="4" t="s">
        <v>193</v>
      </c>
    </row>
    <row r="48" customFormat="false" ht="15" hidden="false" customHeight="false" outlineLevel="0" collapsed="false">
      <c r="A48" s="0" t="s">
        <v>31</v>
      </c>
      <c r="B48" s="0" t="n">
        <v>11000</v>
      </c>
      <c r="C48" s="0" t="n">
        <v>13900</v>
      </c>
      <c r="D48" s="0" t="s">
        <v>32</v>
      </c>
      <c r="E48" s="0" t="s">
        <v>33</v>
      </c>
      <c r="F48" s="0" t="n">
        <v>10.4</v>
      </c>
      <c r="G48" s="0" t="n">
        <v>0.678</v>
      </c>
      <c r="H48" s="0" t="n">
        <v>0.021</v>
      </c>
      <c r="I48" s="0" t="n">
        <v>0.9317</v>
      </c>
      <c r="J48" s="0" t="n">
        <v>0.262687488599851</v>
      </c>
      <c r="K48" s="0" t="n">
        <v>0.293772032902468</v>
      </c>
      <c r="L48" s="0" t="n">
        <v>3.27868852459016</v>
      </c>
      <c r="M48" s="0" t="n">
        <v>83.3333333333333</v>
      </c>
      <c r="N48" s="0" t="n">
        <v>142542</v>
      </c>
      <c r="O48" s="0" t="n">
        <v>37444</v>
      </c>
      <c r="P48" s="0" t="n">
        <v>3355</v>
      </c>
      <c r="Q48" s="0" t="n">
        <v>132</v>
      </c>
      <c r="R48" s="0" t="n">
        <v>0.883</v>
      </c>
      <c r="S48" s="0" t="n">
        <v>0.004</v>
      </c>
      <c r="T48" s="0" t="n">
        <v>0.4405</v>
      </c>
      <c r="U48" s="0" t="s">
        <v>34</v>
      </c>
      <c r="AA48" s="0" t="s">
        <v>194</v>
      </c>
      <c r="AB48" s="0" t="n">
        <f aca="false">FALSE()</f>
        <v>0</v>
      </c>
      <c r="AC48" s="4" t="s">
        <v>195</v>
      </c>
      <c r="AD48" s="4" t="s">
        <v>157</v>
      </c>
      <c r="AE48" s="4" t="s">
        <v>196</v>
      </c>
    </row>
    <row r="49" customFormat="false" ht="15" hidden="false" customHeight="false" outlineLevel="0" collapsed="false">
      <c r="A49" s="0" t="s">
        <v>31</v>
      </c>
      <c r="B49" s="0" t="n">
        <v>3900</v>
      </c>
      <c r="C49" s="0" t="s">
        <v>43</v>
      </c>
      <c r="D49" s="0" t="s">
        <v>32</v>
      </c>
      <c r="E49" s="0" t="s">
        <v>44</v>
      </c>
      <c r="F49" s="0" t="n">
        <v>1</v>
      </c>
      <c r="G49" s="0" t="n">
        <v>0.573</v>
      </c>
      <c r="H49" s="0" t="n">
        <v>0.031</v>
      </c>
      <c r="I49" s="0" t="n">
        <v>0.9654</v>
      </c>
      <c r="J49" s="0" t="n">
        <v>0.141389027018067</v>
      </c>
      <c r="K49" s="0" t="n">
        <v>1.14302461899179</v>
      </c>
      <c r="L49" s="0" t="n">
        <v>10.655737704918</v>
      </c>
      <c r="M49" s="0" t="n">
        <v>22.9411764705882</v>
      </c>
      <c r="N49" s="0" t="n">
        <v>24132</v>
      </c>
      <c r="O49" s="0" t="n">
        <v>3412</v>
      </c>
      <c r="P49" s="0" t="n">
        <v>366</v>
      </c>
      <c r="Q49" s="0" t="n">
        <v>170</v>
      </c>
      <c r="R49" s="0" t="n">
        <v>0.536</v>
      </c>
      <c r="S49" s="0" t="n">
        <v>0.445</v>
      </c>
      <c r="T49" s="0" t="s">
        <v>34</v>
      </c>
      <c r="U49" s="0" t="s">
        <v>34</v>
      </c>
      <c r="AA49" s="0" t="s">
        <v>197</v>
      </c>
      <c r="AB49" s="0" t="n">
        <f aca="false">FALSE()</f>
        <v>0</v>
      </c>
      <c r="AC49" s="4" t="s">
        <v>198</v>
      </c>
      <c r="AD49" s="4" t="s">
        <v>133</v>
      </c>
      <c r="AE49" s="4" t="s">
        <v>199</v>
      </c>
    </row>
    <row r="50" customFormat="false" ht="15" hidden="false" customHeight="false" outlineLevel="0" collapsed="false">
      <c r="A50" s="0" t="s">
        <v>31</v>
      </c>
      <c r="B50" s="0" t="n">
        <v>2000</v>
      </c>
      <c r="C50" s="0" t="s">
        <v>43</v>
      </c>
      <c r="D50" s="0" t="s">
        <v>32</v>
      </c>
      <c r="E50" s="0" t="s">
        <v>44</v>
      </c>
      <c r="F50" s="0" t="n">
        <v>2</v>
      </c>
      <c r="G50" s="0" t="n">
        <v>0.5</v>
      </c>
      <c r="H50" s="0" t="n">
        <v>0.05</v>
      </c>
      <c r="I50" s="0" t="n">
        <v>0.9377</v>
      </c>
      <c r="J50" s="0" t="n">
        <v>0.0981389280864773</v>
      </c>
      <c r="K50" s="0" t="n">
        <v>0.542593597395551</v>
      </c>
      <c r="L50" s="0" t="n">
        <v>5.26315789473684</v>
      </c>
      <c r="M50" s="0" t="n">
        <v>8.09716599190283</v>
      </c>
      <c r="N50" s="0" t="n">
        <v>37559</v>
      </c>
      <c r="O50" s="0" t="n">
        <v>3686</v>
      </c>
      <c r="P50" s="0" t="n">
        <v>380</v>
      </c>
      <c r="Q50" s="0" t="n">
        <v>247</v>
      </c>
      <c r="R50" s="0" t="n">
        <v>0.906</v>
      </c>
      <c r="S50" s="0" t="n">
        <v>0.062</v>
      </c>
      <c r="T50" s="0" t="n">
        <v>0.5921</v>
      </c>
      <c r="U50" s="0" t="s">
        <v>34</v>
      </c>
      <c r="AA50" s="0" t="s">
        <v>200</v>
      </c>
      <c r="AB50" s="0" t="n">
        <f aca="false">FALSE()</f>
        <v>0</v>
      </c>
      <c r="AC50" s="4" t="s">
        <v>201</v>
      </c>
      <c r="AD50" s="4" t="s">
        <v>133</v>
      </c>
      <c r="AE50" s="4" t="s">
        <v>202</v>
      </c>
    </row>
    <row r="51" customFormat="false" ht="15" hidden="false" customHeight="false" outlineLevel="0" collapsed="false">
      <c r="A51" s="0" t="s">
        <v>31</v>
      </c>
      <c r="B51" s="0" t="n">
        <v>5000</v>
      </c>
      <c r="C51" s="0" t="n">
        <v>7000</v>
      </c>
      <c r="D51" s="0" t="s">
        <v>39</v>
      </c>
      <c r="E51" s="0" t="s">
        <v>44</v>
      </c>
      <c r="F51" s="0" t="n">
        <v>6.8</v>
      </c>
      <c r="G51" s="0" t="n">
        <v>0.563</v>
      </c>
      <c r="H51" s="0" t="n">
        <v>0.027</v>
      </c>
      <c r="I51" s="0" t="n">
        <v>0.7974</v>
      </c>
      <c r="J51" s="0" t="n">
        <v>0.158927479212471</v>
      </c>
      <c r="K51" s="0" t="n">
        <v>0.520074890784273</v>
      </c>
      <c r="L51" s="0" t="n">
        <v>11.3895216400911</v>
      </c>
      <c r="M51" s="0" t="n">
        <v>20.5278592375367</v>
      </c>
      <c r="N51" s="0" t="n">
        <v>60493</v>
      </c>
      <c r="O51" s="0" t="n">
        <v>9614</v>
      </c>
      <c r="P51" s="0" t="n">
        <v>439</v>
      </c>
      <c r="Q51" s="0" t="n">
        <v>341</v>
      </c>
      <c r="R51" s="0" t="n">
        <v>0.394</v>
      </c>
      <c r="S51" s="0" t="n">
        <v>0.015</v>
      </c>
      <c r="T51" s="0" t="s">
        <v>34</v>
      </c>
      <c r="U51" s="0" t="s">
        <v>34</v>
      </c>
      <c r="AA51" s="0" t="s">
        <v>203</v>
      </c>
      <c r="AB51" s="0" t="n">
        <f aca="false">FALSE()</f>
        <v>0</v>
      </c>
      <c r="AC51" s="4" t="s">
        <v>204</v>
      </c>
      <c r="AD51" s="0" t="s">
        <v>70</v>
      </c>
      <c r="AE51" s="4" t="s">
        <v>205</v>
      </c>
    </row>
    <row r="52" customFormat="false" ht="15" hidden="false" customHeight="false" outlineLevel="0" collapsed="false">
      <c r="A52" s="0" t="s">
        <v>31</v>
      </c>
      <c r="B52" s="0" t="n">
        <v>5800</v>
      </c>
      <c r="C52" s="0" t="n">
        <v>12000</v>
      </c>
      <c r="D52" s="0" t="s">
        <v>39</v>
      </c>
      <c r="E52" s="0" t="s">
        <v>33</v>
      </c>
      <c r="F52" s="0" t="n">
        <v>11</v>
      </c>
      <c r="G52" s="0" t="n">
        <v>0.742</v>
      </c>
      <c r="H52" s="0" t="n">
        <v>0.024</v>
      </c>
      <c r="I52" s="0" t="n">
        <v>0.9392</v>
      </c>
      <c r="J52" s="0" t="n">
        <v>0.141700898848985</v>
      </c>
      <c r="K52" s="0" t="n">
        <v>1.66475315729047</v>
      </c>
      <c r="L52" s="0" t="n">
        <v>13.6470588235294</v>
      </c>
      <c r="M52" s="0" t="n">
        <v>43.6363636363636</v>
      </c>
      <c r="N52" s="0" t="n">
        <v>24587</v>
      </c>
      <c r="O52" s="0" t="n">
        <v>3484</v>
      </c>
      <c r="P52" s="0" t="n">
        <v>425</v>
      </c>
      <c r="Q52" s="0" t="n">
        <v>275</v>
      </c>
      <c r="R52" s="0" t="n">
        <v>0.193</v>
      </c>
      <c r="S52" s="0" t="n">
        <v>0.012</v>
      </c>
      <c r="T52" s="0" t="s">
        <v>34</v>
      </c>
      <c r="U52" s="0" t="s">
        <v>34</v>
      </c>
      <c r="AA52" s="0" t="s">
        <v>175</v>
      </c>
      <c r="AB52" s="0" t="n">
        <f aca="false">FALSE()</f>
        <v>0</v>
      </c>
      <c r="AC52" s="4" t="s">
        <v>176</v>
      </c>
      <c r="AD52" s="4" t="s">
        <v>54</v>
      </c>
      <c r="AE52" s="4" t="s">
        <v>206</v>
      </c>
    </row>
    <row r="53" customFormat="false" ht="15" hidden="false" customHeight="false" outlineLevel="0" collapsed="false">
      <c r="A53" s="0" t="s">
        <v>31</v>
      </c>
      <c r="B53" s="0" t="n">
        <v>10000</v>
      </c>
      <c r="C53" s="0" t="n">
        <v>14000</v>
      </c>
      <c r="D53" s="0" t="s">
        <v>39</v>
      </c>
      <c r="E53" s="0" t="s">
        <v>44</v>
      </c>
      <c r="F53" s="0" t="n">
        <v>7.6</v>
      </c>
      <c r="G53" s="0" t="n">
        <v>0.49</v>
      </c>
      <c r="H53" s="0" t="n">
        <v>0.045</v>
      </c>
      <c r="I53" s="0" t="n">
        <v>0.8839</v>
      </c>
      <c r="J53" s="0" t="n">
        <v>0.21065002600104</v>
      </c>
      <c r="K53" s="0" t="n">
        <v>0.987459267305224</v>
      </c>
      <c r="L53" s="0" t="n">
        <v>19.4931773879142</v>
      </c>
      <c r="N53" s="0" t="n">
        <v>48075</v>
      </c>
      <c r="O53" s="0" t="n">
        <v>10127</v>
      </c>
      <c r="P53" s="0" t="n">
        <v>513</v>
      </c>
      <c r="Q53" s="0" t="s">
        <v>34</v>
      </c>
      <c r="R53" s="0" t="n">
        <v>0.69</v>
      </c>
      <c r="S53" s="0" t="n">
        <v>0.029</v>
      </c>
      <c r="T53" s="0" t="s">
        <v>34</v>
      </c>
      <c r="U53" s="0" t="n">
        <v>0.4749</v>
      </c>
      <c r="AA53" s="0" t="s">
        <v>203</v>
      </c>
      <c r="AB53" s="0" t="n">
        <f aca="false">FALSE()</f>
        <v>0</v>
      </c>
      <c r="AC53" s="4" t="s">
        <v>204</v>
      </c>
      <c r="AD53" s="0" t="s">
        <v>70</v>
      </c>
      <c r="AE53" s="4" t="s">
        <v>205</v>
      </c>
    </row>
    <row r="54" customFormat="false" ht="15" hidden="false" customHeight="false" outlineLevel="0" collapsed="false">
      <c r="A54" s="0" t="s">
        <v>31</v>
      </c>
      <c r="B54" s="0" t="n">
        <v>120000</v>
      </c>
      <c r="C54" s="0" t="n">
        <v>100000</v>
      </c>
      <c r="D54" s="0" t="s">
        <v>39</v>
      </c>
      <c r="E54" s="0" t="s">
        <v>99</v>
      </c>
      <c r="F54" s="0" t="n">
        <v>114.9</v>
      </c>
      <c r="G54" s="0" t="n">
        <v>0.452</v>
      </c>
      <c r="H54" s="0" t="n">
        <v>0.067</v>
      </c>
      <c r="I54" s="0" t="n">
        <v>0.9785</v>
      </c>
      <c r="J54" s="0" t="n">
        <v>0.105411160763485</v>
      </c>
      <c r="K54" s="0" t="n">
        <v>2.02354052139894</v>
      </c>
      <c r="L54" s="0" t="n">
        <v>26.8036631672995</v>
      </c>
      <c r="M54" s="0" t="n">
        <v>103.199174406605</v>
      </c>
      <c r="N54" s="0" t="n">
        <v>562578</v>
      </c>
      <c r="O54" s="0" t="n">
        <v>59302</v>
      </c>
      <c r="P54" s="0" t="n">
        <v>4477</v>
      </c>
      <c r="Q54" s="0" t="n">
        <v>969</v>
      </c>
      <c r="R54" s="0" t="n">
        <v>0.947</v>
      </c>
      <c r="S54" s="0" t="n">
        <v>0.002</v>
      </c>
      <c r="T54" s="0" t="s">
        <v>34</v>
      </c>
      <c r="U54" s="0" t="n">
        <v>2.26</v>
      </c>
      <c r="AA54" s="4" t="s">
        <v>207</v>
      </c>
      <c r="AB54" s="0" t="n">
        <f aca="false">FALSE()</f>
        <v>0</v>
      </c>
      <c r="AC54" s="4" t="s">
        <v>207</v>
      </c>
      <c r="AD54" s="4" t="s">
        <v>122</v>
      </c>
      <c r="AE54" s="4" t="s">
        <v>208</v>
      </c>
    </row>
    <row r="55" customFormat="false" ht="15" hidden="false" customHeight="false" outlineLevel="0" collapsed="false">
      <c r="A55" s="0" t="s">
        <v>31</v>
      </c>
      <c r="B55" s="0" t="n">
        <v>29000</v>
      </c>
      <c r="C55" s="0" t="n">
        <v>45000</v>
      </c>
      <c r="D55" s="0" t="s">
        <v>32</v>
      </c>
      <c r="E55" s="0" t="s">
        <v>99</v>
      </c>
      <c r="F55" s="0" t="n">
        <v>112.9</v>
      </c>
      <c r="G55" s="0" t="n">
        <v>0.302</v>
      </c>
      <c r="H55" s="0" t="n">
        <v>0.16</v>
      </c>
      <c r="I55" s="0" t="n">
        <v>0.971</v>
      </c>
      <c r="J55" s="0" t="n">
        <v>0.094867708578569</v>
      </c>
      <c r="K55" s="0" t="n">
        <v>1.38398396487544</v>
      </c>
      <c r="L55" s="0" t="n">
        <v>19.0664036817883</v>
      </c>
      <c r="M55" s="0" t="n">
        <v>28.3553875236295</v>
      </c>
      <c r="N55" s="0" t="n">
        <v>220876</v>
      </c>
      <c r="O55" s="0" t="n">
        <v>20954</v>
      </c>
      <c r="P55" s="0" t="n">
        <v>1521</v>
      </c>
      <c r="Q55" s="0" t="n">
        <v>1587</v>
      </c>
      <c r="R55" s="0" t="n">
        <v>0.648</v>
      </c>
      <c r="S55" s="0" t="n">
        <v>0.108</v>
      </c>
      <c r="T55" s="0" t="s">
        <v>34</v>
      </c>
      <c r="U55" s="0" t="s">
        <v>34</v>
      </c>
      <c r="AA55" s="0" t="s">
        <v>209</v>
      </c>
      <c r="AB55" s="0" t="n">
        <f aca="false">FALSE()</f>
        <v>0</v>
      </c>
      <c r="AC55" s="4" t="s">
        <v>210</v>
      </c>
      <c r="AD55" s="4" t="s">
        <v>133</v>
      </c>
      <c r="AE55" s="4" t="s">
        <v>211</v>
      </c>
    </row>
    <row r="56" customFormat="false" ht="15" hidden="false" customHeight="false" outlineLevel="0" collapsed="false">
      <c r="A56" s="0" t="s">
        <v>31</v>
      </c>
      <c r="B56" s="0" t="n">
        <v>20000</v>
      </c>
      <c r="C56" s="0" t="n">
        <v>20000</v>
      </c>
      <c r="D56" s="0" t="s">
        <v>39</v>
      </c>
      <c r="E56" s="0" t="s">
        <v>44</v>
      </c>
      <c r="F56" s="0" t="n">
        <v>4.9</v>
      </c>
      <c r="G56" s="0" t="n">
        <v>0.433</v>
      </c>
      <c r="H56" s="0" t="n">
        <v>0.038</v>
      </c>
      <c r="I56" s="0" t="n">
        <v>0.9154</v>
      </c>
      <c r="J56" s="0" t="n">
        <v>0.67818534602236</v>
      </c>
      <c r="K56" s="0" t="n">
        <v>0.272479564032698</v>
      </c>
      <c r="L56" s="0" t="n">
        <v>5.52944429084877</v>
      </c>
      <c r="N56" s="0" t="n">
        <v>108230</v>
      </c>
      <c r="O56" s="0" t="n">
        <v>73400</v>
      </c>
      <c r="P56" s="0" t="n">
        <v>3617</v>
      </c>
      <c r="Q56" s="0" t="s">
        <v>34</v>
      </c>
      <c r="R56" s="0" t="n">
        <v>0.875</v>
      </c>
      <c r="S56" s="0" t="n">
        <v>0.005</v>
      </c>
      <c r="T56" s="0" t="s">
        <v>34</v>
      </c>
      <c r="U56" s="0" t="s">
        <v>34</v>
      </c>
      <c r="AA56" s="0" t="s">
        <v>212</v>
      </c>
      <c r="AB56" s="0" t="n">
        <f aca="false">FALSE()</f>
        <v>0</v>
      </c>
      <c r="AC56" s="4" t="s">
        <v>213</v>
      </c>
      <c r="AD56" s="4" t="s">
        <v>101</v>
      </c>
      <c r="AE56" s="4" t="s">
        <v>214</v>
      </c>
    </row>
    <row r="57" customFormat="false" ht="15" hidden="false" customHeight="false" outlineLevel="0" collapsed="false">
      <c r="A57" s="0" t="s">
        <v>31</v>
      </c>
      <c r="B57" s="0" t="n">
        <v>40000</v>
      </c>
      <c r="C57" s="0" t="n">
        <v>40000</v>
      </c>
      <c r="D57" s="0" t="s">
        <v>39</v>
      </c>
      <c r="E57" s="0" t="s">
        <v>59</v>
      </c>
      <c r="F57" s="0" t="n">
        <v>68.4</v>
      </c>
      <c r="G57" s="0" t="n">
        <v>0.614</v>
      </c>
      <c r="H57" s="0" t="n">
        <v>0.027</v>
      </c>
      <c r="I57" s="0" t="n">
        <v>0.9649</v>
      </c>
      <c r="J57" s="0" t="n">
        <v>0.11021312155584</v>
      </c>
      <c r="K57" s="0" t="n">
        <v>2.12089077412513</v>
      </c>
      <c r="L57" s="0" t="n">
        <v>17.0721297481861</v>
      </c>
      <c r="M57" s="0" t="n">
        <v>165.289256198347</v>
      </c>
      <c r="N57" s="0" t="n">
        <v>171123</v>
      </c>
      <c r="O57" s="0" t="n">
        <v>18860</v>
      </c>
      <c r="P57" s="0" t="n">
        <v>2343</v>
      </c>
      <c r="Q57" s="0" t="n">
        <v>242</v>
      </c>
      <c r="R57" s="0" t="n">
        <v>0.773</v>
      </c>
      <c r="S57" s="0" t="n">
        <v>0.012</v>
      </c>
      <c r="T57" s="0" t="s">
        <v>34</v>
      </c>
      <c r="U57" s="0" t="n">
        <v>2.86</v>
      </c>
      <c r="AA57" s="0" t="s">
        <v>215</v>
      </c>
      <c r="AB57" s="0" t="n">
        <f aca="false">FALSE()</f>
        <v>0</v>
      </c>
      <c r="AC57" s="4" t="s">
        <v>216</v>
      </c>
      <c r="AD57" s="4" t="s">
        <v>37</v>
      </c>
      <c r="AE57" s="4" t="s">
        <v>217</v>
      </c>
    </row>
    <row r="58" customFormat="false" ht="15" hidden="false" customHeight="false" outlineLevel="0" collapsed="false">
      <c r="A58" s="0" t="s">
        <v>31</v>
      </c>
      <c r="B58" s="0" t="n">
        <v>250000</v>
      </c>
      <c r="C58" s="0" t="n">
        <v>300000</v>
      </c>
      <c r="D58" s="0" t="s">
        <v>39</v>
      </c>
      <c r="E58" s="0" t="s">
        <v>99</v>
      </c>
      <c r="F58" s="0" t="n">
        <v>496</v>
      </c>
      <c r="G58" s="0" t="n">
        <v>0.363</v>
      </c>
      <c r="H58" s="0" t="n">
        <v>0.088</v>
      </c>
      <c r="I58" s="0" t="n">
        <v>0.934</v>
      </c>
      <c r="J58" s="0" t="n">
        <v>0.277986199543244</v>
      </c>
      <c r="K58" s="0" t="n">
        <v>0.261705018664802</v>
      </c>
      <c r="L58" s="0" t="n">
        <v>2.08359378255615</v>
      </c>
      <c r="M58" s="0" t="n">
        <v>340.136054421769</v>
      </c>
      <c r="N58" s="0" t="n">
        <v>3436408</v>
      </c>
      <c r="O58" s="0" t="n">
        <v>955274</v>
      </c>
      <c r="P58" s="0" t="n">
        <v>119985</v>
      </c>
      <c r="Q58" s="0" t="n">
        <v>882</v>
      </c>
      <c r="R58" s="0" t="n">
        <v>0.882</v>
      </c>
      <c r="S58" s="0" t="n">
        <v>0.005</v>
      </c>
      <c r="T58" s="0" t="s">
        <v>34</v>
      </c>
      <c r="U58" s="0" t="n">
        <v>1.69</v>
      </c>
      <c r="AA58" s="4" t="s">
        <v>218</v>
      </c>
      <c r="AB58" s="0" t="n">
        <f aca="false">FALSE()</f>
        <v>0</v>
      </c>
      <c r="AC58" s="4" t="s">
        <v>218</v>
      </c>
      <c r="AD58" s="4" t="s">
        <v>122</v>
      </c>
      <c r="AE58" s="4" t="s">
        <v>219</v>
      </c>
    </row>
    <row r="59" customFormat="false" ht="15" hidden="false" customHeight="false" outlineLevel="0" collapsed="false">
      <c r="A59" s="0" t="s">
        <v>31</v>
      </c>
      <c r="B59" s="0" t="n">
        <v>80000</v>
      </c>
      <c r="C59" s="0" t="n">
        <v>180000</v>
      </c>
      <c r="D59" s="0" t="s">
        <v>39</v>
      </c>
      <c r="E59" s="0" t="s">
        <v>99</v>
      </c>
      <c r="F59" s="0" t="n">
        <v>241.5</v>
      </c>
      <c r="G59" s="0" t="n">
        <v>0.237</v>
      </c>
      <c r="H59" s="0" t="n">
        <v>0.162</v>
      </c>
      <c r="I59" s="0" t="n">
        <v>0.9561</v>
      </c>
      <c r="J59" s="0" t="n">
        <v>0.231974578964093</v>
      </c>
      <c r="K59" s="0" t="n">
        <v>0.876683506295684</v>
      </c>
      <c r="L59" s="0" t="n">
        <v>19.53125</v>
      </c>
      <c r="M59" s="0" t="n">
        <v>54.364240410752</v>
      </c>
      <c r="N59" s="0" t="n">
        <v>393375</v>
      </c>
      <c r="O59" s="0" t="n">
        <v>91253</v>
      </c>
      <c r="P59" s="0" t="n">
        <v>9216</v>
      </c>
      <c r="Q59" s="0" t="n">
        <v>3311</v>
      </c>
      <c r="R59" s="0" t="n">
        <v>0.916</v>
      </c>
      <c r="S59" s="0" t="n">
        <v>0.003</v>
      </c>
      <c r="T59" s="0" t="s">
        <v>34</v>
      </c>
      <c r="U59" s="0" t="n">
        <v>2.61</v>
      </c>
      <c r="AA59" s="0" t="s">
        <v>220</v>
      </c>
      <c r="AB59" s="0" t="n">
        <f aca="false">FALSE()</f>
        <v>0</v>
      </c>
      <c r="AC59" s="0" t="s">
        <v>221</v>
      </c>
      <c r="AD59" s="4" t="s">
        <v>122</v>
      </c>
      <c r="AE59" s="4" t="s">
        <v>222</v>
      </c>
    </row>
    <row r="60" customFormat="false" ht="15" hidden="false" customHeight="false" outlineLevel="0" collapsed="false">
      <c r="AD60" s="4" t="s">
        <v>122</v>
      </c>
      <c r="AE60" s="4" t="s">
        <v>193</v>
      </c>
    </row>
    <row r="61" customFormat="false" ht="15" hidden="false" customHeight="false" outlineLevel="0" collapsed="false">
      <c r="A61" s="0" t="s">
        <v>31</v>
      </c>
      <c r="B61" s="0" t="n">
        <v>2500</v>
      </c>
      <c r="C61" s="0" t="n">
        <v>3800</v>
      </c>
      <c r="D61" s="0" t="s">
        <v>32</v>
      </c>
      <c r="E61" s="0" t="s">
        <v>44</v>
      </c>
      <c r="F61" s="0" t="n">
        <v>2.6</v>
      </c>
      <c r="G61" s="0" t="n">
        <v>0.677</v>
      </c>
      <c r="H61" s="0" t="n">
        <v>0.023</v>
      </c>
      <c r="I61" s="0" t="n">
        <v>0.9788</v>
      </c>
      <c r="J61" s="0" t="n">
        <v>0.184995124955098</v>
      </c>
      <c r="K61" s="0" t="n">
        <v>0.175681923254739</v>
      </c>
      <c r="L61" s="0" t="n">
        <v>0.854893138357705</v>
      </c>
      <c r="M61" s="0" t="n">
        <v>14.6153846153846</v>
      </c>
      <c r="N61" s="0" t="n">
        <v>116922</v>
      </c>
      <c r="O61" s="0" t="n">
        <v>21630</v>
      </c>
      <c r="P61" s="0" t="n">
        <v>4445</v>
      </c>
      <c r="Q61" s="0" t="n">
        <v>260</v>
      </c>
      <c r="R61" s="0" t="n">
        <v>0.563</v>
      </c>
      <c r="S61" s="0" t="n">
        <v>0.328</v>
      </c>
      <c r="T61" s="0" t="s">
        <v>34</v>
      </c>
      <c r="U61" s="0" t="s">
        <v>34</v>
      </c>
      <c r="AA61" s="0" t="s">
        <v>223</v>
      </c>
      <c r="AB61" s="0" t="n">
        <f aca="false">FALSE()</f>
        <v>0</v>
      </c>
      <c r="AC61" s="4" t="s">
        <v>224</v>
      </c>
      <c r="AD61" s="4" t="s">
        <v>133</v>
      </c>
      <c r="AE61" s="4" t="s">
        <v>225</v>
      </c>
    </row>
    <row r="62" customFormat="false" ht="15" hidden="false" customHeight="false" outlineLevel="0" collapsed="false">
      <c r="A62" s="0" t="s">
        <v>31</v>
      </c>
      <c r="B62" s="0" t="n">
        <v>59000</v>
      </c>
      <c r="C62" s="0" t="n">
        <v>84000</v>
      </c>
      <c r="D62" s="0" t="s">
        <v>39</v>
      </c>
      <c r="E62" s="0" t="s">
        <v>59</v>
      </c>
      <c r="F62" s="0" t="n">
        <v>58.4</v>
      </c>
      <c r="G62" s="0" t="n">
        <v>0.68</v>
      </c>
      <c r="H62" s="0" t="n">
        <v>0.018</v>
      </c>
      <c r="I62" s="0" t="n">
        <v>0.9439</v>
      </c>
      <c r="J62" s="0" t="n">
        <v>0.160366187981941</v>
      </c>
      <c r="K62" s="0" t="n">
        <v>1.52763380435376</v>
      </c>
      <c r="L62" s="0" t="n">
        <v>16.6534496431404</v>
      </c>
      <c r="M62" s="0" t="n">
        <v>39.7163120567376</v>
      </c>
      <c r="N62" s="0" t="n">
        <v>342884</v>
      </c>
      <c r="O62" s="0" t="n">
        <v>54987</v>
      </c>
      <c r="P62" s="0" t="n">
        <v>5044</v>
      </c>
      <c r="Q62" s="0" t="n">
        <v>2115</v>
      </c>
      <c r="R62" s="0" t="n">
        <v>0.453</v>
      </c>
      <c r="S62" s="0" t="n">
        <v>0.007</v>
      </c>
      <c r="T62" s="0" t="s">
        <v>34</v>
      </c>
      <c r="U62" s="0" t="n">
        <v>0.4945</v>
      </c>
      <c r="AA62" s="0" t="s">
        <v>226</v>
      </c>
      <c r="AB62" s="0" t="n">
        <f aca="false">FALSE()</f>
        <v>0</v>
      </c>
      <c r="AC62" s="4" t="s">
        <v>227</v>
      </c>
      <c r="AD62" s="4" t="s">
        <v>126</v>
      </c>
      <c r="AE62" s="4" t="s">
        <v>228</v>
      </c>
    </row>
    <row r="63" customFormat="false" ht="15" hidden="false" customHeight="false" outlineLevel="0" collapsed="false">
      <c r="A63" s="0" t="s">
        <v>31</v>
      </c>
      <c r="B63" s="0" t="n">
        <v>11660</v>
      </c>
      <c r="C63" s="0" t="n">
        <v>14840</v>
      </c>
      <c r="D63" s="0" t="s">
        <v>32</v>
      </c>
      <c r="E63" s="0" t="s">
        <v>44</v>
      </c>
      <c r="F63" s="0" t="n">
        <v>8.2</v>
      </c>
      <c r="G63" s="0" t="n">
        <v>0.475</v>
      </c>
      <c r="H63" s="0" t="n">
        <v>0.022</v>
      </c>
      <c r="I63" s="0" t="n">
        <v>0.9618</v>
      </c>
      <c r="J63" s="0" t="n">
        <v>0.120673699796409</v>
      </c>
      <c r="K63" s="0" t="n">
        <v>5.69018404907976</v>
      </c>
      <c r="L63" s="0" t="n">
        <v>58.8888888888889</v>
      </c>
      <c r="M63" s="0" t="n">
        <v>39.3633952254642</v>
      </c>
      <c r="N63" s="0" t="n">
        <v>21612</v>
      </c>
      <c r="O63" s="0" t="n">
        <v>2608</v>
      </c>
      <c r="P63" s="0" t="n">
        <v>252</v>
      </c>
      <c r="Q63" s="0" t="n">
        <v>377</v>
      </c>
      <c r="R63" s="0" t="n">
        <v>0.628</v>
      </c>
      <c r="S63" s="0" t="n">
        <v>0.131</v>
      </c>
      <c r="T63" s="0" t="s">
        <v>34</v>
      </c>
      <c r="U63" s="0" t="n">
        <v>0.1793</v>
      </c>
      <c r="AA63" s="0" t="s">
        <v>229</v>
      </c>
      <c r="AB63" s="0" t="n">
        <f aca="false">FALSE()</f>
        <v>0</v>
      </c>
      <c r="AC63" s="4" t="s">
        <v>230</v>
      </c>
      <c r="AD63" s="4" t="s">
        <v>37</v>
      </c>
      <c r="AE63" s="4" t="s">
        <v>231</v>
      </c>
    </row>
    <row r="64" customFormat="false" ht="15" hidden="false" customHeight="false" outlineLevel="0" collapsed="false">
      <c r="A64" s="0" t="s">
        <v>31</v>
      </c>
      <c r="B64" s="0" t="n">
        <v>42000</v>
      </c>
      <c r="C64" s="0" t="n">
        <v>52000</v>
      </c>
      <c r="D64" s="0" t="s">
        <v>32</v>
      </c>
      <c r="E64" s="0" t="s">
        <v>33</v>
      </c>
      <c r="F64" s="0" t="n">
        <v>44.4</v>
      </c>
      <c r="G64" s="0" t="n">
        <v>0.516</v>
      </c>
      <c r="H64" s="0" t="n">
        <v>0.02</v>
      </c>
      <c r="I64" s="0" t="n">
        <v>0.9778</v>
      </c>
      <c r="J64" s="0" t="n">
        <v>0.199451869559443</v>
      </c>
      <c r="K64" s="0" t="n">
        <v>3.14769975786925</v>
      </c>
      <c r="L64" s="0" t="n">
        <v>30.8605341246291</v>
      </c>
      <c r="N64" s="0" t="n">
        <v>82827</v>
      </c>
      <c r="O64" s="0" t="n">
        <v>16520</v>
      </c>
      <c r="P64" s="0" t="n">
        <v>1685</v>
      </c>
      <c r="Q64" s="0" t="s">
        <v>34</v>
      </c>
      <c r="R64" s="0" t="n">
        <v>0.795</v>
      </c>
      <c r="S64" s="0" t="n">
        <v>0.016</v>
      </c>
      <c r="T64" s="0" t="s">
        <v>34</v>
      </c>
      <c r="U64" s="0" t="n">
        <v>0.2897</v>
      </c>
      <c r="AA64" s="0" t="s">
        <v>232</v>
      </c>
      <c r="AB64" s="0" t="n">
        <f aca="false">FALSE()</f>
        <v>0</v>
      </c>
      <c r="AC64" s="0" t="s">
        <v>233</v>
      </c>
      <c r="AD64" s="4" t="s">
        <v>122</v>
      </c>
      <c r="AE64" s="0" t="s">
        <v>234</v>
      </c>
    </row>
    <row r="65" customFormat="false" ht="15" hidden="false" customHeight="false" outlineLevel="0" collapsed="false">
      <c r="A65" s="0" t="s">
        <v>31</v>
      </c>
      <c r="B65" s="0" t="n">
        <v>30440</v>
      </c>
      <c r="C65" s="0" t="n">
        <v>48800</v>
      </c>
      <c r="D65" s="0" t="s">
        <v>39</v>
      </c>
      <c r="E65" s="0" t="s">
        <v>33</v>
      </c>
      <c r="F65" s="0" t="n">
        <v>41.1</v>
      </c>
      <c r="G65" s="0" t="n">
        <v>0.544</v>
      </c>
      <c r="H65" s="0" t="n">
        <v>0.022</v>
      </c>
      <c r="I65" s="0" t="n">
        <v>0.9532</v>
      </c>
      <c r="J65" s="0" t="n">
        <v>0.15093754377539</v>
      </c>
      <c r="K65" s="0" t="n">
        <v>3.23500165727544</v>
      </c>
      <c r="L65" s="0" t="n">
        <v>10.873440285205</v>
      </c>
      <c r="M65" s="0" t="n">
        <v>707.246376811594</v>
      </c>
      <c r="N65" s="0" t="n">
        <v>99942</v>
      </c>
      <c r="O65" s="0" t="n">
        <v>15085</v>
      </c>
      <c r="P65" s="0" t="n">
        <v>4488</v>
      </c>
      <c r="Q65" s="0" t="n">
        <v>69</v>
      </c>
      <c r="R65" s="0" t="n">
        <v>0.636</v>
      </c>
      <c r="S65" s="0" t="n">
        <v>0.025</v>
      </c>
      <c r="T65" s="0" t="s">
        <v>34</v>
      </c>
      <c r="U65" s="0" t="n">
        <v>0.131</v>
      </c>
      <c r="AA65" s="0" t="s">
        <v>235</v>
      </c>
      <c r="AB65" s="0" t="n">
        <f aca="false">FALSE()</f>
        <v>0</v>
      </c>
      <c r="AC65" s="4" t="s">
        <v>236</v>
      </c>
      <c r="AD65" s="4" t="s">
        <v>126</v>
      </c>
      <c r="AE65" s="4" t="s">
        <v>237</v>
      </c>
    </row>
    <row r="66" customFormat="false" ht="15" hidden="false" customHeight="false" outlineLevel="0" collapsed="false">
      <c r="A66" s="0" t="s">
        <v>31</v>
      </c>
      <c r="B66" s="0" t="n">
        <v>26800</v>
      </c>
      <c r="C66" s="0" t="n">
        <v>33800</v>
      </c>
      <c r="D66" s="0" t="s">
        <v>39</v>
      </c>
      <c r="E66" s="0" t="s">
        <v>33</v>
      </c>
      <c r="F66" s="0" t="n">
        <v>23.9</v>
      </c>
      <c r="G66" s="0" t="n">
        <v>0.458</v>
      </c>
      <c r="H66" s="0" t="n">
        <v>0.028</v>
      </c>
      <c r="I66" s="0" t="n">
        <v>0.7698</v>
      </c>
      <c r="J66" s="0" t="n">
        <v>0.172107688011914</v>
      </c>
      <c r="K66" s="0" t="n">
        <v>2.28486446292165</v>
      </c>
      <c r="L66" s="0" t="n">
        <v>13.1619937694704</v>
      </c>
      <c r="M66" s="0" t="n">
        <v>19.1392978482446</v>
      </c>
      <c r="N66" s="0" t="n">
        <v>85952</v>
      </c>
      <c r="O66" s="0" t="n">
        <v>14793</v>
      </c>
      <c r="P66" s="0" t="n">
        <v>2568</v>
      </c>
      <c r="Q66" s="0" t="n">
        <v>1766</v>
      </c>
      <c r="R66" s="0" t="n">
        <v>0.221</v>
      </c>
      <c r="S66" s="0" t="n">
        <v>0.062</v>
      </c>
      <c r="T66" s="0" t="s">
        <v>34</v>
      </c>
      <c r="U66" s="0" t="s">
        <v>34</v>
      </c>
      <c r="AA66" s="0" t="s">
        <v>238</v>
      </c>
      <c r="AB66" s="0" t="n">
        <f aca="false">FALSE()</f>
        <v>0</v>
      </c>
      <c r="AC66" s="4" t="s">
        <v>239</v>
      </c>
      <c r="AD66" s="4" t="s">
        <v>126</v>
      </c>
      <c r="AE66" s="4" t="s">
        <v>240</v>
      </c>
    </row>
    <row r="67" customFormat="false" ht="15" hidden="false" customHeight="false" outlineLevel="0" collapsed="false">
      <c r="A67" s="0" t="s">
        <v>31</v>
      </c>
      <c r="B67" s="0" t="n">
        <v>12000</v>
      </c>
      <c r="C67" s="0" t="n">
        <v>14000</v>
      </c>
      <c r="D67" s="0" t="s">
        <v>32</v>
      </c>
      <c r="E67" s="0" t="s">
        <v>33</v>
      </c>
      <c r="F67" s="0" t="n">
        <v>18.7</v>
      </c>
      <c r="G67" s="0" t="n">
        <v>0.476</v>
      </c>
      <c r="H67" s="0" t="n">
        <v>0.042</v>
      </c>
      <c r="I67" s="0" t="n">
        <v>0.9173</v>
      </c>
      <c r="J67" s="0" t="n">
        <v>0.16604739907612</v>
      </c>
      <c r="K67" s="0" t="n">
        <v>4.2334442092531</v>
      </c>
      <c r="L67" s="0" t="n">
        <v>36.9393139841689</v>
      </c>
      <c r="M67" s="0" t="n">
        <v>36.3636363636364</v>
      </c>
      <c r="N67" s="0" t="n">
        <v>19916</v>
      </c>
      <c r="O67" s="0" t="n">
        <v>3307</v>
      </c>
      <c r="P67" s="0" t="n">
        <v>379</v>
      </c>
      <c r="Q67" s="0" t="n">
        <v>385</v>
      </c>
      <c r="R67" s="0" t="n">
        <v>0.528</v>
      </c>
      <c r="S67" s="0" t="n">
        <v>0.097</v>
      </c>
      <c r="T67" s="0" t="s">
        <v>34</v>
      </c>
      <c r="U67" s="0" t="n">
        <v>0.393</v>
      </c>
      <c r="AA67" s="0" t="s">
        <v>241</v>
      </c>
      <c r="AB67" s="0" t="n">
        <f aca="false">FALSE()</f>
        <v>0</v>
      </c>
      <c r="AC67" s="4" t="s">
        <v>242</v>
      </c>
      <c r="AD67" s="4" t="s">
        <v>133</v>
      </c>
      <c r="AE67" s="4" t="s">
        <v>243</v>
      </c>
    </row>
    <row r="68" customFormat="false" ht="15" hidden="false" customHeight="false" outlineLevel="0" collapsed="false">
      <c r="A68" s="0" t="s">
        <v>31</v>
      </c>
      <c r="B68" s="0" t="n">
        <v>8500</v>
      </c>
      <c r="C68" s="0" t="n">
        <v>12000</v>
      </c>
      <c r="D68" s="0" t="s">
        <v>32</v>
      </c>
      <c r="E68" s="0" t="s">
        <v>33</v>
      </c>
      <c r="F68" s="0" t="n">
        <v>10.5</v>
      </c>
      <c r="G68" s="0" t="n">
        <v>0.383</v>
      </c>
      <c r="H68" s="0" t="n">
        <v>0.045</v>
      </c>
      <c r="I68" s="0" t="n">
        <v>0.8919</v>
      </c>
      <c r="J68" s="0" t="n">
        <v>0.0979042468194948</v>
      </c>
      <c r="K68" s="0" t="n">
        <v>1.50659133709981</v>
      </c>
      <c r="L68" s="0" t="n">
        <v>32.967032967033</v>
      </c>
      <c r="M68" s="0" t="n">
        <v>8.42696629213483</v>
      </c>
      <c r="N68" s="0" t="n">
        <v>81355</v>
      </c>
      <c r="O68" s="0" t="n">
        <v>7965</v>
      </c>
      <c r="P68" s="0" t="n">
        <v>364</v>
      </c>
      <c r="Q68" s="0" t="n">
        <v>1424</v>
      </c>
      <c r="R68" s="0" t="n">
        <v>0.651</v>
      </c>
      <c r="S68" s="0" t="n">
        <v>0.055</v>
      </c>
      <c r="T68" s="0" t="s">
        <v>34</v>
      </c>
      <c r="U68" s="0" t="n">
        <v>0.4052</v>
      </c>
      <c r="AA68" s="0" t="s">
        <v>244</v>
      </c>
      <c r="AB68" s="0" t="n">
        <f aca="false">FALSE()</f>
        <v>0</v>
      </c>
      <c r="AC68" s="4" t="s">
        <v>245</v>
      </c>
      <c r="AD68" s="4" t="s">
        <v>37</v>
      </c>
      <c r="AE68" s="4" t="s">
        <v>246</v>
      </c>
    </row>
    <row r="69" customFormat="false" ht="15" hidden="false" customHeight="false" outlineLevel="0" collapsed="false">
      <c r="A69" s="0" t="s">
        <v>31</v>
      </c>
      <c r="B69" s="0" t="n">
        <v>8500</v>
      </c>
      <c r="C69" s="0" t="n">
        <v>12000</v>
      </c>
      <c r="D69" s="0" t="s">
        <v>32</v>
      </c>
      <c r="E69" s="0" t="s">
        <v>44</v>
      </c>
      <c r="F69" s="0" t="n">
        <v>6.9</v>
      </c>
      <c r="G69" s="0" t="n">
        <v>0.212</v>
      </c>
      <c r="H69" s="0" t="n">
        <v>0.048</v>
      </c>
      <c r="I69" s="0" t="n">
        <v>0.9569</v>
      </c>
      <c r="J69" s="0" t="n">
        <v>0.0884368880185152</v>
      </c>
      <c r="K69" s="0" t="n">
        <v>4.2778057372924</v>
      </c>
      <c r="L69" s="0" t="n">
        <v>98.8372093023256</v>
      </c>
      <c r="N69" s="0" t="n">
        <v>22468</v>
      </c>
      <c r="O69" s="0" t="n">
        <v>1987</v>
      </c>
      <c r="P69" s="0" t="n">
        <v>86</v>
      </c>
      <c r="Q69" s="0" t="s">
        <v>34</v>
      </c>
      <c r="R69" s="0" t="n">
        <v>0.792</v>
      </c>
      <c r="S69" s="0" t="n">
        <v>0.004</v>
      </c>
      <c r="T69" s="0" t="s">
        <v>34</v>
      </c>
      <c r="U69" s="0" t="s">
        <v>34</v>
      </c>
      <c r="AA69" s="0" t="s">
        <v>229</v>
      </c>
      <c r="AB69" s="0" t="n">
        <f aca="false">FALSE()</f>
        <v>0</v>
      </c>
      <c r="AC69" s="4" t="s">
        <v>230</v>
      </c>
      <c r="AD69" s="4" t="s">
        <v>133</v>
      </c>
      <c r="AE69" s="4" t="s">
        <v>247</v>
      </c>
    </row>
    <row r="70" customFormat="false" ht="15" hidden="false" customHeight="false" outlineLevel="0" collapsed="false">
      <c r="A70" s="0" t="s">
        <v>31</v>
      </c>
      <c r="B70" s="0" t="n">
        <v>3500</v>
      </c>
      <c r="C70" s="0" t="n">
        <v>4500</v>
      </c>
      <c r="D70" s="0" t="s">
        <v>32</v>
      </c>
      <c r="E70" s="0" t="s">
        <v>44</v>
      </c>
      <c r="F70" s="0" t="n">
        <v>4.3</v>
      </c>
      <c r="G70" s="0" t="n">
        <v>0.356</v>
      </c>
      <c r="H70" s="0" t="n">
        <v>0.123</v>
      </c>
      <c r="I70" s="0" t="n">
        <v>0.6477</v>
      </c>
      <c r="J70" s="0" t="n">
        <v>0.153356575320253</v>
      </c>
      <c r="K70" s="0" t="n">
        <v>1.18953211736717</v>
      </c>
      <c r="L70" s="0" t="n">
        <v>16.1870503597122</v>
      </c>
      <c r="N70" s="0" t="n">
        <v>24668</v>
      </c>
      <c r="O70" s="0" t="n">
        <v>3783</v>
      </c>
      <c r="P70" s="0" t="n">
        <v>278</v>
      </c>
      <c r="Q70" s="0" t="s">
        <v>34</v>
      </c>
      <c r="R70" s="0" t="n">
        <v>0.287</v>
      </c>
      <c r="S70" s="0" t="n">
        <v>0.269</v>
      </c>
      <c r="T70" s="0" t="s">
        <v>34</v>
      </c>
      <c r="U70" s="0" t="s">
        <v>34</v>
      </c>
      <c r="AA70" s="0" t="s">
        <v>248</v>
      </c>
      <c r="AB70" s="0" t="n">
        <f aca="false">FALSE()</f>
        <v>0</v>
      </c>
      <c r="AC70" s="4" t="s">
        <v>249</v>
      </c>
      <c r="AD70" s="4" t="s">
        <v>133</v>
      </c>
      <c r="AE70" s="4" t="s">
        <v>250</v>
      </c>
    </row>
    <row r="71" customFormat="false" ht="15" hidden="false" customHeight="false" outlineLevel="0" collapsed="false">
      <c r="A71" s="0" t="s">
        <v>31</v>
      </c>
      <c r="B71" s="0" t="n">
        <v>2000</v>
      </c>
      <c r="C71" s="0" t="n">
        <v>4500</v>
      </c>
      <c r="D71" s="0" t="s">
        <v>32</v>
      </c>
      <c r="E71" s="0" t="s">
        <v>44</v>
      </c>
      <c r="F71" s="0" t="n">
        <v>3.7</v>
      </c>
      <c r="G71" s="0" t="n">
        <v>0.343</v>
      </c>
      <c r="H71" s="0" t="n">
        <v>0.032</v>
      </c>
      <c r="I71" s="0" t="n">
        <v>0.9854</v>
      </c>
      <c r="J71" s="0" t="n">
        <v>0.151790790221717</v>
      </c>
      <c r="K71" s="0" t="n">
        <v>1.29645635263613</v>
      </c>
      <c r="L71" s="0" t="n">
        <v>14.4694533762058</v>
      </c>
      <c r="M71" s="0" t="n">
        <v>7.8397212543554</v>
      </c>
      <c r="N71" s="0" t="n">
        <v>22867</v>
      </c>
      <c r="O71" s="0" t="n">
        <v>3471</v>
      </c>
      <c r="P71" s="0" t="n">
        <v>311</v>
      </c>
      <c r="Q71" s="0" t="n">
        <v>574</v>
      </c>
      <c r="R71" s="0" t="n">
        <v>0.491</v>
      </c>
      <c r="S71" s="0" t="n">
        <v>0.317</v>
      </c>
      <c r="T71" s="0" t="s">
        <v>34</v>
      </c>
      <c r="U71" s="0" t="n">
        <v>0.29</v>
      </c>
      <c r="AA71" s="0" t="s">
        <v>251</v>
      </c>
      <c r="AB71" s="0" t="n">
        <f aca="false">FALSE()</f>
        <v>0</v>
      </c>
      <c r="AC71" s="4" t="s">
        <v>252</v>
      </c>
      <c r="AD71" s="4" t="s">
        <v>37</v>
      </c>
      <c r="AE71" s="4" t="s">
        <v>253</v>
      </c>
    </row>
    <row r="72" customFormat="false" ht="15" hidden="false" customHeight="false" outlineLevel="0" collapsed="false">
      <c r="A72" s="0" t="s">
        <v>31</v>
      </c>
      <c r="B72" s="0" t="n">
        <v>2500</v>
      </c>
      <c r="C72" s="0" t="n">
        <v>6500</v>
      </c>
      <c r="D72" s="0" t="s">
        <v>32</v>
      </c>
      <c r="E72" s="0" t="s">
        <v>44</v>
      </c>
      <c r="F72" s="0" t="n">
        <v>4.2</v>
      </c>
      <c r="G72" s="0" t="n">
        <v>0.522</v>
      </c>
      <c r="H72" s="0" t="n">
        <v>0.022</v>
      </c>
      <c r="I72" s="0" t="n">
        <v>0.9445</v>
      </c>
      <c r="J72" s="0" t="n">
        <v>0.127878264359693</v>
      </c>
      <c r="K72" s="0" t="n">
        <v>0.221752183406113</v>
      </c>
      <c r="L72" s="0" t="n">
        <v>1.60771704180064</v>
      </c>
      <c r="M72" s="0" t="n">
        <v>36.9318181818182</v>
      </c>
      <c r="N72" s="0" t="n">
        <v>229218</v>
      </c>
      <c r="O72" s="0" t="n">
        <v>29312</v>
      </c>
      <c r="P72" s="0" t="n">
        <v>4043</v>
      </c>
      <c r="Q72" s="0" t="n">
        <v>176</v>
      </c>
      <c r="R72" s="0" t="n">
        <v>0.858</v>
      </c>
      <c r="S72" s="0" t="n">
        <v>0.029</v>
      </c>
      <c r="T72" s="0" t="s">
        <v>34</v>
      </c>
      <c r="U72" s="0" t="n">
        <v>0.1357</v>
      </c>
      <c r="AA72" s="0" t="s">
        <v>254</v>
      </c>
      <c r="AB72" s="0" t="n">
        <f aca="false">FALSE()</f>
        <v>0</v>
      </c>
      <c r="AC72" s="4" t="s">
        <v>255</v>
      </c>
      <c r="AD72" s="4" t="s">
        <v>54</v>
      </c>
      <c r="AE72" s="4" t="s">
        <v>256</v>
      </c>
    </row>
    <row r="73" customFormat="false" ht="15" hidden="false" customHeight="false" outlineLevel="0" collapsed="false">
      <c r="A73" s="0" t="s">
        <v>31</v>
      </c>
      <c r="B73" s="0" t="s">
        <v>43</v>
      </c>
      <c r="C73" s="0" t="n">
        <v>4700</v>
      </c>
      <c r="D73" s="0" t="s">
        <v>32</v>
      </c>
      <c r="E73" s="0" t="s">
        <v>44</v>
      </c>
      <c r="F73" s="0" t="n">
        <v>2.3</v>
      </c>
      <c r="G73" s="0" t="n">
        <v>0.473</v>
      </c>
      <c r="H73" s="0" t="n">
        <v>0.037</v>
      </c>
      <c r="I73" s="0" t="n">
        <v>0.9324</v>
      </c>
      <c r="J73" s="0" t="n">
        <v>0.157984750231597</v>
      </c>
      <c r="K73" s="0" t="n">
        <v>2.11998195760036</v>
      </c>
      <c r="L73" s="0" t="n">
        <v>10.3296703296703</v>
      </c>
      <c r="N73" s="0" t="n">
        <v>14033</v>
      </c>
      <c r="O73" s="0" t="n">
        <v>2217</v>
      </c>
      <c r="P73" s="0" t="n">
        <v>455</v>
      </c>
      <c r="Q73" s="0" t="s">
        <v>34</v>
      </c>
      <c r="R73" s="0" t="n">
        <v>0.661</v>
      </c>
      <c r="S73" s="0" t="n">
        <v>0.021</v>
      </c>
      <c r="T73" s="0" t="s">
        <v>34</v>
      </c>
      <c r="U73" s="0" t="s">
        <v>34</v>
      </c>
      <c r="AA73" s="0" t="s">
        <v>229</v>
      </c>
      <c r="AB73" s="0" t="n">
        <f aca="false">FALSE()</f>
        <v>0</v>
      </c>
      <c r="AC73" s="4" t="s">
        <v>230</v>
      </c>
      <c r="AD73" s="4" t="s">
        <v>133</v>
      </c>
      <c r="AE73" s="4" t="s">
        <v>257</v>
      </c>
    </row>
    <row r="74" customFormat="false" ht="15" hidden="false" customHeight="false" outlineLevel="0" collapsed="false">
      <c r="A74" s="0" t="s">
        <v>31</v>
      </c>
      <c r="B74" s="0" t="n">
        <v>3000</v>
      </c>
      <c r="C74" s="0" t="n">
        <v>5000</v>
      </c>
      <c r="D74" s="0" t="s">
        <v>32</v>
      </c>
      <c r="E74" s="0" t="s">
        <v>44</v>
      </c>
      <c r="F74" s="0" t="n">
        <v>1.7</v>
      </c>
      <c r="G74" s="0" t="n">
        <v>0.35</v>
      </c>
      <c r="H74" s="0" t="n">
        <v>0.028</v>
      </c>
      <c r="I74" s="0" t="n">
        <v>0.9762</v>
      </c>
      <c r="J74" s="0" t="n">
        <v>0.156860149579721</v>
      </c>
      <c r="K74" s="0" t="n">
        <v>2.10970464135021</v>
      </c>
      <c r="L74" s="0" t="n">
        <v>19.2307692307692</v>
      </c>
      <c r="M74" s="0" t="n">
        <v>20.2429149797571</v>
      </c>
      <c r="N74" s="0" t="n">
        <v>15109</v>
      </c>
      <c r="O74" s="0" t="n">
        <v>2370</v>
      </c>
      <c r="P74" s="0" t="n">
        <v>260</v>
      </c>
      <c r="Q74" s="0" t="n">
        <v>247</v>
      </c>
      <c r="R74" s="0" t="n">
        <v>0.718</v>
      </c>
      <c r="S74" s="0" t="n">
        <v>0.107</v>
      </c>
      <c r="T74" s="0" t="n">
        <v>0.1579</v>
      </c>
      <c r="U74" s="0" t="n">
        <v>0.089</v>
      </c>
      <c r="AA74" s="0" t="s">
        <v>258</v>
      </c>
      <c r="AB74" s="0" t="n">
        <f aca="false">FALSE()</f>
        <v>0</v>
      </c>
      <c r="AC74" s="4" t="s">
        <v>259</v>
      </c>
      <c r="AD74" s="4" t="s">
        <v>260</v>
      </c>
      <c r="AE74" s="4" t="s">
        <v>261</v>
      </c>
    </row>
    <row r="75" customFormat="false" ht="15" hidden="false" customHeight="false" outlineLevel="0" collapsed="false">
      <c r="A75" s="0" t="s">
        <v>31</v>
      </c>
      <c r="B75" s="0" t="n">
        <v>9000</v>
      </c>
      <c r="C75" s="0" t="n">
        <v>12500</v>
      </c>
      <c r="D75" s="0" t="s">
        <v>39</v>
      </c>
      <c r="E75" s="0" t="s">
        <v>33</v>
      </c>
      <c r="F75" s="0" t="n">
        <v>22</v>
      </c>
      <c r="G75" s="0" t="n">
        <v>0.31</v>
      </c>
      <c r="H75" s="0" t="n">
        <v>0.061</v>
      </c>
      <c r="I75" s="0" t="n">
        <v>0.8885</v>
      </c>
      <c r="J75" s="0" t="n">
        <v>0.177128373341285</v>
      </c>
      <c r="K75" s="0" t="n">
        <v>3.50729517396184</v>
      </c>
      <c r="L75" s="0" t="n">
        <v>46.4684014869888</v>
      </c>
      <c r="N75" s="0" t="n">
        <v>20121</v>
      </c>
      <c r="O75" s="0" t="n">
        <v>3564</v>
      </c>
      <c r="P75" s="0" t="n">
        <v>269</v>
      </c>
      <c r="Q75" s="0" t="s">
        <v>34</v>
      </c>
      <c r="R75" s="0" t="n">
        <v>0.291</v>
      </c>
      <c r="S75" s="0" t="n">
        <v>0.002</v>
      </c>
      <c r="T75" s="0" t="s">
        <v>34</v>
      </c>
      <c r="U75" s="0" t="s">
        <v>34</v>
      </c>
      <c r="AA75" s="0" t="s">
        <v>262</v>
      </c>
      <c r="AB75" s="0" t="n">
        <f aca="false">FALSE()</f>
        <v>0</v>
      </c>
      <c r="AC75" s="4" t="s">
        <v>263</v>
      </c>
      <c r="AD75" s="4" t="s">
        <v>157</v>
      </c>
      <c r="AE75" s="4" t="s">
        <v>264</v>
      </c>
    </row>
    <row r="76" customFormat="false" ht="15" hidden="false" customHeight="false" outlineLevel="0" collapsed="false">
      <c r="AD76" s="4" t="s">
        <v>122</v>
      </c>
      <c r="AE76" s="4" t="s">
        <v>265</v>
      </c>
    </row>
    <row r="77" customFormat="false" ht="15" hidden="false" customHeight="false" outlineLevel="0" collapsed="false">
      <c r="A77" s="0" t="s">
        <v>31</v>
      </c>
      <c r="B77" s="0" t="n">
        <v>15000</v>
      </c>
      <c r="C77" s="0" t="n">
        <v>19800</v>
      </c>
      <c r="D77" s="0" t="s">
        <v>39</v>
      </c>
      <c r="E77" s="0" t="s">
        <v>33</v>
      </c>
      <c r="F77" s="0" t="n">
        <v>11.4</v>
      </c>
      <c r="G77" s="0" t="n">
        <v>0.287</v>
      </c>
      <c r="H77" s="0" t="n">
        <v>0.056</v>
      </c>
      <c r="I77" s="0" t="n">
        <v>0.9467</v>
      </c>
      <c r="J77" s="0" t="n">
        <v>0.359768363303871</v>
      </c>
      <c r="K77" s="0" t="n">
        <v>1.67739749237547</v>
      </c>
      <c r="L77" s="0" t="n">
        <v>7.9646017699115</v>
      </c>
      <c r="M77" s="0" t="n">
        <v>19.1674733785092</v>
      </c>
      <c r="N77" s="0" t="n">
        <v>32810</v>
      </c>
      <c r="O77" s="0" t="n">
        <v>11804</v>
      </c>
      <c r="P77" s="0" t="n">
        <v>2486</v>
      </c>
      <c r="Q77" s="0" t="n">
        <v>1033</v>
      </c>
      <c r="R77" s="0" t="n">
        <v>0.813</v>
      </c>
      <c r="S77" s="0" t="n">
        <v>0.011</v>
      </c>
      <c r="T77" s="0" t="s">
        <v>34</v>
      </c>
      <c r="U77" s="0" t="n">
        <v>0.2979</v>
      </c>
      <c r="V77" s="0" t="s">
        <v>112</v>
      </c>
      <c r="W77" s="4" t="s">
        <v>113</v>
      </c>
      <c r="X77" s="0" t="s">
        <v>266</v>
      </c>
      <c r="Y77" s="4" t="s">
        <v>267</v>
      </c>
      <c r="Z77" s="4" t="s">
        <v>268</v>
      </c>
      <c r="AA77" s="0" t="s">
        <v>269</v>
      </c>
      <c r="AB77" s="0" t="n">
        <f aca="false">TRUE()</f>
        <v>1</v>
      </c>
      <c r="AC77" s="4" t="s">
        <v>270</v>
      </c>
      <c r="AD77" s="4" t="s">
        <v>50</v>
      </c>
      <c r="AE77" s="4" t="s">
        <v>271</v>
      </c>
    </row>
    <row r="78" customFormat="false" ht="15" hidden="false" customHeight="false" outlineLevel="0" collapsed="false">
      <c r="A78" s="0" t="s">
        <v>31</v>
      </c>
      <c r="B78" s="0" t="n">
        <v>15000</v>
      </c>
      <c r="C78" s="0" t="n">
        <v>20000</v>
      </c>
      <c r="D78" s="0" t="s">
        <v>39</v>
      </c>
      <c r="E78" s="0" t="s">
        <v>33</v>
      </c>
      <c r="F78" s="0" t="n">
        <v>11.2</v>
      </c>
      <c r="G78" s="0" t="n">
        <v>0.376</v>
      </c>
      <c r="H78" s="0" t="n">
        <v>0.045</v>
      </c>
      <c r="I78" s="0" t="n">
        <v>0.9514</v>
      </c>
      <c r="J78" s="0" t="n">
        <v>0.177980132450331</v>
      </c>
      <c r="K78" s="0" t="n">
        <v>31.0077519379845</v>
      </c>
      <c r="L78" s="0" t="n">
        <v>10.5485232067511</v>
      </c>
      <c r="N78" s="0" t="n">
        <v>3624</v>
      </c>
      <c r="O78" s="0" t="n">
        <v>645</v>
      </c>
      <c r="P78" s="0" t="n">
        <v>1896</v>
      </c>
      <c r="Q78" s="0" t="s">
        <v>34</v>
      </c>
      <c r="R78" s="0" t="n">
        <v>0.768</v>
      </c>
      <c r="S78" s="0" t="n">
        <v>0.017</v>
      </c>
      <c r="T78" s="0" t="s">
        <v>34</v>
      </c>
      <c r="U78" s="0" t="s">
        <v>34</v>
      </c>
      <c r="V78" s="0" t="s">
        <v>112</v>
      </c>
      <c r="W78" s="4" t="s">
        <v>113</v>
      </c>
      <c r="X78" s="0" t="s">
        <v>266</v>
      </c>
      <c r="Y78" s="4" t="s">
        <v>267</v>
      </c>
      <c r="AA78" s="0" t="s">
        <v>272</v>
      </c>
      <c r="AB78" s="0" t="n">
        <f aca="false">TRUE()</f>
        <v>1</v>
      </c>
      <c r="AC78" s="4" t="s">
        <v>273</v>
      </c>
      <c r="AD78" s="4" t="s">
        <v>50</v>
      </c>
      <c r="AE78" s="4" t="s">
        <v>274</v>
      </c>
    </row>
    <row r="79" customFormat="false" ht="15" hidden="false" customHeight="false" outlineLevel="0" collapsed="false">
      <c r="A79" s="0" t="s">
        <v>31</v>
      </c>
      <c r="B79" s="0" t="n">
        <v>30000</v>
      </c>
      <c r="C79" s="0" t="n">
        <v>38000</v>
      </c>
      <c r="D79" s="0" t="s">
        <v>32</v>
      </c>
      <c r="E79" s="0" t="s">
        <v>99</v>
      </c>
      <c r="F79" s="0" t="s">
        <v>275</v>
      </c>
      <c r="G79" s="0" t="n">
        <v>0.285</v>
      </c>
      <c r="H79" s="0" t="n">
        <v>0.047</v>
      </c>
      <c r="I79" s="0" t="n">
        <v>0.9233</v>
      </c>
      <c r="J79" s="0" t="n">
        <v>0.195026835012935</v>
      </c>
      <c r="K79" s="0" t="n">
        <v>2.50775424008447</v>
      </c>
      <c r="L79" s="0" t="n">
        <v>10.1333333333333</v>
      </c>
      <c r="M79" s="0" t="n">
        <v>9.45273631840796</v>
      </c>
      <c r="N79" s="0" t="n">
        <v>77697</v>
      </c>
      <c r="O79" s="0" t="n">
        <v>15153</v>
      </c>
      <c r="P79" s="0" t="n">
        <v>3750</v>
      </c>
      <c r="Q79" s="0" t="n">
        <v>4020</v>
      </c>
      <c r="R79" s="0" t="n">
        <v>0.912</v>
      </c>
      <c r="S79" s="0" t="n">
        <v>0.005</v>
      </c>
      <c r="T79" s="0" t="s">
        <v>34</v>
      </c>
      <c r="U79" s="0" t="n">
        <v>0.6865</v>
      </c>
      <c r="AA79" s="4" t="s">
        <v>218</v>
      </c>
      <c r="AB79" s="0" t="n">
        <f aca="false">FALSE()</f>
        <v>0</v>
      </c>
      <c r="AC79" s="4" t="s">
        <v>218</v>
      </c>
      <c r="AD79" s="4" t="s">
        <v>122</v>
      </c>
      <c r="AE79" s="4" t="s">
        <v>276</v>
      </c>
    </row>
    <row r="80" customFormat="false" ht="15" hidden="false" customHeight="false" outlineLevel="0" collapsed="false">
      <c r="A80" s="0" t="s">
        <v>31</v>
      </c>
      <c r="B80" s="0" t="n">
        <v>4000</v>
      </c>
      <c r="C80" s="0" t="n">
        <v>5500</v>
      </c>
      <c r="D80" s="0" t="s">
        <v>32</v>
      </c>
      <c r="E80" s="0" t="s">
        <v>44</v>
      </c>
      <c r="F80" s="0" t="n">
        <v>2.5</v>
      </c>
      <c r="G80" s="0" t="n">
        <v>0.355</v>
      </c>
      <c r="H80" s="0" t="n">
        <v>0.095</v>
      </c>
      <c r="I80" s="0" t="n">
        <v>0.8587</v>
      </c>
      <c r="J80" s="0" t="n">
        <v>0.196892765698911</v>
      </c>
      <c r="K80" s="0" t="n">
        <v>1.21225479391669</v>
      </c>
      <c r="L80" s="0" t="n">
        <v>10.1102941176471</v>
      </c>
      <c r="M80" s="0" t="n">
        <v>305.555555555556</v>
      </c>
      <c r="N80" s="0" t="n">
        <v>23043</v>
      </c>
      <c r="O80" s="0" t="n">
        <v>4537</v>
      </c>
      <c r="P80" s="0" t="n">
        <v>544</v>
      </c>
      <c r="Q80" s="0" t="n">
        <v>18</v>
      </c>
      <c r="R80" s="0" t="n">
        <v>0.802</v>
      </c>
      <c r="S80" s="0" t="n">
        <v>0.035</v>
      </c>
      <c r="T80" s="0" t="n">
        <v>0.0715</v>
      </c>
      <c r="U80" s="0" t="n">
        <v>0.1304</v>
      </c>
      <c r="AA80" s="0" t="s">
        <v>277</v>
      </c>
      <c r="AB80" s="0" t="n">
        <f aca="false">FALSE()</f>
        <v>0</v>
      </c>
      <c r="AC80" s="0" t="s">
        <v>278</v>
      </c>
      <c r="AD80" s="4" t="s">
        <v>279</v>
      </c>
      <c r="AE80" s="4" t="s">
        <v>280</v>
      </c>
    </row>
    <row r="81" customFormat="false" ht="15" hidden="false" customHeight="false" outlineLevel="0" collapsed="false">
      <c r="A81" s="0" t="s">
        <v>31</v>
      </c>
      <c r="B81" s="0" t="n">
        <v>6000</v>
      </c>
      <c r="C81" s="0" t="n">
        <v>8000</v>
      </c>
      <c r="D81" s="0" t="s">
        <v>39</v>
      </c>
      <c r="E81" s="0" t="s">
        <v>44</v>
      </c>
      <c r="F81" s="0" t="n">
        <v>3.3</v>
      </c>
      <c r="G81" s="0" t="n">
        <v>0.577</v>
      </c>
      <c r="H81" s="0" t="n">
        <v>0.051</v>
      </c>
      <c r="I81" s="0" t="n">
        <v>0.9093</v>
      </c>
      <c r="J81" s="0" t="n">
        <v>0.181475046432209</v>
      </c>
      <c r="K81" s="0" t="n">
        <v>2.64113568834599</v>
      </c>
      <c r="L81" s="0" t="n">
        <v>24.7678018575851</v>
      </c>
      <c r="N81" s="0" t="n">
        <v>16691</v>
      </c>
      <c r="O81" s="0" t="n">
        <v>3029</v>
      </c>
      <c r="P81" s="0" t="n">
        <v>323</v>
      </c>
      <c r="Q81" s="0" t="s">
        <v>34</v>
      </c>
      <c r="R81" s="0" t="n">
        <v>0.281</v>
      </c>
      <c r="S81" s="0" t="n">
        <v>0.115</v>
      </c>
      <c r="T81" s="0" t="s">
        <v>34</v>
      </c>
      <c r="U81" s="0" t="s">
        <v>34</v>
      </c>
      <c r="AA81" s="0" t="s">
        <v>281</v>
      </c>
      <c r="AB81" s="0" t="n">
        <f aca="false">FALSE()</f>
        <v>0</v>
      </c>
      <c r="AC81" s="4" t="s">
        <v>282</v>
      </c>
      <c r="AD81" s="4" t="s">
        <v>133</v>
      </c>
      <c r="AE81" s="4" t="s">
        <v>283</v>
      </c>
    </row>
    <row r="82" customFormat="false" ht="15" hidden="false" customHeight="false" outlineLevel="0" collapsed="false">
      <c r="A82" s="0" t="s">
        <v>31</v>
      </c>
      <c r="B82" s="0" t="s">
        <v>43</v>
      </c>
      <c r="C82" s="0" t="n">
        <v>35000</v>
      </c>
      <c r="D82" s="0" t="s">
        <v>39</v>
      </c>
      <c r="E82" s="0" t="s">
        <v>33</v>
      </c>
      <c r="F82" s="0" t="n">
        <v>26.4</v>
      </c>
      <c r="G82" s="0" t="n">
        <v>0.439</v>
      </c>
      <c r="H82" s="0" t="n">
        <v>0.034</v>
      </c>
      <c r="I82" s="0" t="n">
        <v>0.962</v>
      </c>
      <c r="J82" s="0" t="n">
        <v>0.174294089006382</v>
      </c>
      <c r="K82" s="0" t="n">
        <v>0.656192583148974</v>
      </c>
      <c r="L82" s="0" t="n">
        <v>10.0143061516452</v>
      </c>
      <c r="N82" s="0" t="n">
        <v>306023</v>
      </c>
      <c r="O82" s="0" t="n">
        <v>53338</v>
      </c>
      <c r="P82" s="0" t="n">
        <v>3495</v>
      </c>
      <c r="Q82" s="0" t="s">
        <v>34</v>
      </c>
      <c r="R82" s="0" t="n">
        <v>0.714</v>
      </c>
      <c r="S82" s="0" t="n">
        <v>0.117</v>
      </c>
      <c r="T82" s="0" t="n">
        <v>0.6893</v>
      </c>
      <c r="U82" s="0" t="s">
        <v>34</v>
      </c>
      <c r="AA82" s="0" t="s">
        <v>284</v>
      </c>
      <c r="AB82" s="0" t="n">
        <f aca="false">FALSE()</f>
        <v>0</v>
      </c>
      <c r="AC82" s="0" t="s">
        <v>285</v>
      </c>
      <c r="AD82" s="0" t="s">
        <v>70</v>
      </c>
      <c r="AE82" s="4" t="s">
        <v>286</v>
      </c>
    </row>
    <row r="83" customFormat="false" ht="15" hidden="false" customHeight="false" outlineLevel="0" collapsed="false">
      <c r="A83" s="0" t="s">
        <v>31</v>
      </c>
      <c r="B83" s="0" t="n">
        <v>40000</v>
      </c>
      <c r="C83" s="0" t="n">
        <v>75000</v>
      </c>
      <c r="D83" s="0" t="s">
        <v>32</v>
      </c>
      <c r="E83" s="0" t="s">
        <v>33</v>
      </c>
      <c r="F83" s="0" t="n">
        <v>43.7</v>
      </c>
      <c r="G83" s="0" t="n">
        <v>0.42</v>
      </c>
      <c r="H83" s="0" t="n">
        <v>0.038</v>
      </c>
      <c r="I83" s="0" t="n">
        <v>0.8805</v>
      </c>
      <c r="J83" s="0" t="n">
        <v>0.206315563184183</v>
      </c>
      <c r="K83" s="0" t="n">
        <v>1.22106085767315</v>
      </c>
      <c r="L83" s="0" t="n">
        <v>30.0480769230769</v>
      </c>
      <c r="M83" s="0" t="n">
        <v>25.1931474638898</v>
      </c>
      <c r="N83" s="0" t="n">
        <v>297709</v>
      </c>
      <c r="O83" s="0" t="n">
        <v>61422</v>
      </c>
      <c r="P83" s="0" t="n">
        <v>2496</v>
      </c>
      <c r="Q83" s="0" t="n">
        <v>2977</v>
      </c>
      <c r="R83" s="0" t="n">
        <v>0.54</v>
      </c>
      <c r="S83" s="0" t="n">
        <v>0.006</v>
      </c>
      <c r="T83" s="0" t="s">
        <v>34</v>
      </c>
      <c r="U83" s="0" t="s">
        <v>34</v>
      </c>
      <c r="AA83" s="0" t="s">
        <v>287</v>
      </c>
      <c r="AB83" s="0" t="n">
        <f aca="false">FALSE()</f>
        <v>0</v>
      </c>
      <c r="AC83" s="4" t="s">
        <v>288</v>
      </c>
      <c r="AD83" s="0" t="s">
        <v>70</v>
      </c>
      <c r="AE83" s="4" t="s">
        <v>286</v>
      </c>
    </row>
    <row r="84" customFormat="false" ht="15" hidden="false" customHeight="false" outlineLevel="0" collapsed="false">
      <c r="A84" s="0" t="s">
        <v>31</v>
      </c>
      <c r="B84" s="0" t="n">
        <v>10000</v>
      </c>
      <c r="C84" s="0" t="n">
        <v>35000</v>
      </c>
      <c r="D84" s="0" t="s">
        <v>32</v>
      </c>
      <c r="E84" s="0" t="s">
        <v>33</v>
      </c>
      <c r="F84" s="0" t="n">
        <v>38.7</v>
      </c>
      <c r="G84" s="0" t="n">
        <v>0.328</v>
      </c>
      <c r="H84" s="0" t="n">
        <v>0.041</v>
      </c>
      <c r="I84" s="0" t="n">
        <v>0.9587</v>
      </c>
      <c r="J84" s="0" t="n">
        <v>0.171799381135772</v>
      </c>
      <c r="K84" s="0" t="n">
        <v>0.907041231502838</v>
      </c>
      <c r="L84" s="0" t="n">
        <v>10.6642291285801</v>
      </c>
      <c r="N84" s="0" t="n">
        <v>224605</v>
      </c>
      <c r="O84" s="0" t="n">
        <v>38587</v>
      </c>
      <c r="P84" s="0" t="n">
        <v>3282</v>
      </c>
      <c r="Q84" s="0" t="s">
        <v>34</v>
      </c>
      <c r="R84" s="0" t="n">
        <v>0.898</v>
      </c>
      <c r="S84" s="0" t="n">
        <v>0.012</v>
      </c>
      <c r="T84" s="0" t="s">
        <v>34</v>
      </c>
      <c r="U84" s="0" t="n">
        <v>0.5722</v>
      </c>
      <c r="V84" s="0" t="s">
        <v>112</v>
      </c>
      <c r="W84" s="4" t="s">
        <v>113</v>
      </c>
      <c r="X84" s="4" t="s">
        <v>289</v>
      </c>
      <c r="AA84" s="0" t="s">
        <v>290</v>
      </c>
      <c r="AB84" s="0" t="n">
        <f aca="false">TRUE()</f>
        <v>1</v>
      </c>
      <c r="AC84" s="4" t="s">
        <v>291</v>
      </c>
      <c r="AD84" s="4" t="s">
        <v>292</v>
      </c>
      <c r="AE84" s="4" t="s">
        <v>293</v>
      </c>
    </row>
    <row r="85" customFormat="false" ht="15" hidden="false" customHeight="false" outlineLevel="0" collapsed="false">
      <c r="A85" s="0" t="s">
        <v>31</v>
      </c>
      <c r="B85" s="0" t="n">
        <v>10000</v>
      </c>
      <c r="C85" s="0" t="n">
        <v>10000</v>
      </c>
      <c r="D85" s="0" t="s">
        <v>98</v>
      </c>
      <c r="E85" s="0" t="s">
        <v>294</v>
      </c>
      <c r="F85" s="0" t="n">
        <v>0.8</v>
      </c>
      <c r="G85" s="0" t="n">
        <v>0.421</v>
      </c>
      <c r="H85" s="0" t="n">
        <v>0.052</v>
      </c>
      <c r="I85" s="0" t="n">
        <v>0.8823</v>
      </c>
      <c r="J85" s="0" t="n">
        <v>0.184710040581228</v>
      </c>
      <c r="K85" s="0" t="n">
        <v>1.0124531740407</v>
      </c>
      <c r="L85" s="0" t="n">
        <v>8.87311446317658</v>
      </c>
      <c r="N85" s="0" t="n">
        <v>53473</v>
      </c>
      <c r="O85" s="0" t="n">
        <v>9877</v>
      </c>
      <c r="P85" s="0" t="n">
        <v>1127</v>
      </c>
      <c r="Q85" s="0" t="s">
        <v>34</v>
      </c>
      <c r="R85" s="0" t="n">
        <v>0.879</v>
      </c>
      <c r="S85" s="0" t="n">
        <v>0.003</v>
      </c>
      <c r="T85" s="0" t="s">
        <v>34</v>
      </c>
      <c r="U85" s="0" t="n">
        <v>0.0394</v>
      </c>
      <c r="AA85" s="0" t="s">
        <v>295</v>
      </c>
      <c r="AB85" s="0" t="n">
        <f aca="false">FALSE()</f>
        <v>0</v>
      </c>
      <c r="AC85" s="4" t="s">
        <v>296</v>
      </c>
      <c r="AD85" s="4" t="s">
        <v>74</v>
      </c>
      <c r="AE85" s="4" t="s">
        <v>297</v>
      </c>
    </row>
    <row r="86" customFormat="false" ht="15" hidden="false" customHeight="false" outlineLevel="0" collapsed="false">
      <c r="A86" s="0" t="s">
        <v>31</v>
      </c>
      <c r="B86" s="0" t="n">
        <v>12000</v>
      </c>
      <c r="C86" s="0" t="n">
        <v>18000</v>
      </c>
      <c r="D86" s="0" t="s">
        <v>39</v>
      </c>
      <c r="E86" s="0" t="s">
        <v>33</v>
      </c>
      <c r="F86" s="0" t="n">
        <v>13.5</v>
      </c>
      <c r="G86" s="0" t="n">
        <v>0.539</v>
      </c>
      <c r="H86" s="0" t="n">
        <v>0.033</v>
      </c>
      <c r="I86" s="0" t="n">
        <v>0.9479</v>
      </c>
      <c r="J86" s="0" t="n">
        <v>0.15412937577886</v>
      </c>
      <c r="K86" s="0" t="n">
        <v>6.61521499448732</v>
      </c>
      <c r="L86" s="0" t="n">
        <v>10.2389078498294</v>
      </c>
      <c r="M86" s="0" t="n">
        <v>136.363636363636</v>
      </c>
      <c r="N86" s="0" t="n">
        <v>17654</v>
      </c>
      <c r="O86" s="0" t="n">
        <v>2721</v>
      </c>
      <c r="P86" s="0" t="n">
        <v>1758</v>
      </c>
      <c r="Q86" s="0" t="n">
        <v>132</v>
      </c>
      <c r="R86" s="0" t="n">
        <v>0.43</v>
      </c>
      <c r="S86" s="0" t="n">
        <v>0.021</v>
      </c>
      <c r="T86" s="0" t="s">
        <v>34</v>
      </c>
      <c r="U86" s="0" t="n">
        <v>0.3252</v>
      </c>
      <c r="AA86" s="0" t="s">
        <v>298</v>
      </c>
      <c r="AB86" s="0" t="n">
        <f aca="false">FALSE()</f>
        <v>0</v>
      </c>
      <c r="AC86" s="4" t="s">
        <v>299</v>
      </c>
      <c r="AD86" s="4" t="s">
        <v>66</v>
      </c>
      <c r="AE86" s="4" t="s">
        <v>300</v>
      </c>
    </row>
    <row r="87" customFormat="false" ht="15" hidden="false" customHeight="false" outlineLevel="0" collapsed="false">
      <c r="A87" s="0" t="s">
        <v>31</v>
      </c>
      <c r="B87" s="0" t="n">
        <v>20000</v>
      </c>
      <c r="C87" s="0" t="n">
        <v>28800</v>
      </c>
      <c r="D87" s="0" t="s">
        <v>32</v>
      </c>
      <c r="E87" s="0" t="s">
        <v>33</v>
      </c>
      <c r="F87" s="0" t="n">
        <v>23.7</v>
      </c>
      <c r="G87" s="0" t="n">
        <v>0.369</v>
      </c>
      <c r="H87" s="0" t="n">
        <v>0.05</v>
      </c>
      <c r="I87" s="0" t="n">
        <v>0.9524</v>
      </c>
      <c r="J87" s="0" t="n">
        <v>0.207786657549468</v>
      </c>
      <c r="K87" s="0" t="n">
        <v>5.92348827642945</v>
      </c>
      <c r="L87" s="0" t="n">
        <v>5.86319218241042</v>
      </c>
      <c r="M87" s="0" t="n">
        <v>15.7119476268412</v>
      </c>
      <c r="N87" s="0" t="n">
        <v>23399</v>
      </c>
      <c r="O87" s="0" t="n">
        <v>4862</v>
      </c>
      <c r="P87" s="0" t="n">
        <v>4912</v>
      </c>
      <c r="Q87" s="0" t="n">
        <v>1833</v>
      </c>
      <c r="R87" s="0" t="n">
        <v>0.881</v>
      </c>
      <c r="S87" s="0" t="n">
        <v>0.043</v>
      </c>
      <c r="T87" s="0" t="s">
        <v>34</v>
      </c>
      <c r="U87" s="0" t="n">
        <v>0.3826</v>
      </c>
      <c r="AA87" s="4" t="s">
        <v>218</v>
      </c>
      <c r="AB87" s="0" t="n">
        <f aca="false">FALSE()</f>
        <v>0</v>
      </c>
      <c r="AC87" s="4" t="s">
        <v>218</v>
      </c>
      <c r="AD87" s="4" t="s">
        <v>122</v>
      </c>
      <c r="AE87" s="4" t="s">
        <v>301</v>
      </c>
    </row>
    <row r="88" customFormat="false" ht="15" hidden="false" customHeight="false" outlineLevel="0" collapsed="false">
      <c r="A88" s="0" t="s">
        <v>31</v>
      </c>
      <c r="B88" s="0" t="n">
        <v>15000</v>
      </c>
      <c r="C88" s="0" t="n">
        <v>18000</v>
      </c>
      <c r="D88" s="0" t="s">
        <v>32</v>
      </c>
      <c r="E88" s="0" t="s">
        <v>44</v>
      </c>
      <c r="F88" s="0" t="n">
        <v>7.2</v>
      </c>
      <c r="G88" s="0" t="n">
        <v>0.368</v>
      </c>
      <c r="H88" s="0" t="n">
        <v>0.056</v>
      </c>
      <c r="I88" s="0" t="n">
        <v>0.9378</v>
      </c>
      <c r="J88" s="0" t="n">
        <v>0.247186257087247</v>
      </c>
      <c r="K88" s="0" t="n">
        <v>6.16227319411161</v>
      </c>
      <c r="L88" s="0" t="n">
        <v>12.4913254684247</v>
      </c>
      <c r="M88" s="0" t="n">
        <v>230.769230769231</v>
      </c>
      <c r="N88" s="0" t="n">
        <v>11817</v>
      </c>
      <c r="O88" s="0" t="n">
        <v>2921</v>
      </c>
      <c r="P88" s="0" t="n">
        <v>1441</v>
      </c>
      <c r="Q88" s="0" t="n">
        <v>78</v>
      </c>
      <c r="R88" s="0" t="n">
        <v>0.82</v>
      </c>
      <c r="S88" s="0" t="n">
        <v>0.042</v>
      </c>
      <c r="T88" s="0" t="s">
        <v>34</v>
      </c>
      <c r="U88" s="0" t="n">
        <v>0.1765</v>
      </c>
      <c r="AA88" s="4" t="s">
        <v>218</v>
      </c>
      <c r="AB88" s="0" t="n">
        <f aca="false">FALSE()</f>
        <v>0</v>
      </c>
      <c r="AC88" s="4" t="s">
        <v>218</v>
      </c>
      <c r="AD88" s="4" t="s">
        <v>122</v>
      </c>
      <c r="AE88" s="4" t="s">
        <v>302</v>
      </c>
    </row>
    <row r="89" customFormat="false" ht="15" hidden="false" customHeight="false" outlineLevel="0" collapsed="false">
      <c r="A89" s="0" t="s">
        <v>31</v>
      </c>
      <c r="B89" s="0" t="n">
        <v>10000</v>
      </c>
      <c r="C89" s="0" t="n">
        <v>15000</v>
      </c>
      <c r="D89" s="0" t="s">
        <v>32</v>
      </c>
      <c r="E89" s="0" t="s">
        <v>44</v>
      </c>
      <c r="F89" s="0" t="n">
        <v>7.7</v>
      </c>
      <c r="G89" s="0" t="n">
        <v>0.265</v>
      </c>
      <c r="H89" s="0" t="n">
        <v>0.065</v>
      </c>
      <c r="I89" s="0" t="n">
        <v>0.9237</v>
      </c>
      <c r="J89" s="0" t="n">
        <v>0.202472651951583</v>
      </c>
      <c r="K89" s="0" t="n">
        <v>4.79539641943734</v>
      </c>
      <c r="L89" s="0" t="n">
        <v>6.55594405594406</v>
      </c>
      <c r="M89" s="0" t="n">
        <v>9.2478421701603</v>
      </c>
      <c r="N89" s="0" t="n">
        <v>15449</v>
      </c>
      <c r="O89" s="0" t="n">
        <v>3128</v>
      </c>
      <c r="P89" s="0" t="n">
        <v>2288</v>
      </c>
      <c r="Q89" s="0" t="n">
        <v>1622</v>
      </c>
      <c r="R89" s="0" t="n">
        <v>0.502</v>
      </c>
      <c r="S89" s="0" t="n">
        <v>0.284</v>
      </c>
      <c r="T89" s="0" t="s">
        <v>34</v>
      </c>
      <c r="U89" s="0" t="n">
        <v>0.2289</v>
      </c>
      <c r="AA89" s="4" t="s">
        <v>218</v>
      </c>
      <c r="AB89" s="0" t="n">
        <f aca="false">FALSE()</f>
        <v>0</v>
      </c>
      <c r="AC89" s="4" t="s">
        <v>218</v>
      </c>
      <c r="AD89" s="4" t="s">
        <v>122</v>
      </c>
      <c r="AE89" s="4" t="s">
        <v>303</v>
      </c>
    </row>
    <row r="90" customFormat="false" ht="15" hidden="false" customHeight="false" outlineLevel="0" collapsed="false">
      <c r="A90" s="0" t="s">
        <v>31</v>
      </c>
      <c r="B90" s="0" t="n">
        <v>25000</v>
      </c>
      <c r="C90" s="0" t="n">
        <v>30000</v>
      </c>
      <c r="D90" s="0" t="s">
        <v>32</v>
      </c>
      <c r="E90" s="0" t="s">
        <v>33</v>
      </c>
      <c r="F90" s="0" t="n">
        <v>24.3</v>
      </c>
      <c r="G90" s="0" t="n">
        <v>0.458</v>
      </c>
      <c r="H90" s="0" t="n">
        <v>0.027</v>
      </c>
      <c r="I90" s="0" t="n">
        <v>0.9818</v>
      </c>
      <c r="J90" s="0" t="n">
        <v>0.194465057401021</v>
      </c>
      <c r="K90" s="0" t="n">
        <v>6.73400673400673</v>
      </c>
      <c r="L90" s="0" t="n">
        <v>9.60307298335467</v>
      </c>
      <c r="M90" s="0" t="n">
        <v>303.030303030303</v>
      </c>
      <c r="N90" s="0" t="n">
        <v>22909</v>
      </c>
      <c r="O90" s="0" t="n">
        <v>4455</v>
      </c>
      <c r="P90" s="0" t="n">
        <v>3124</v>
      </c>
      <c r="Q90" s="0" t="n">
        <v>99</v>
      </c>
      <c r="R90" s="0" t="n">
        <v>0.722</v>
      </c>
      <c r="S90" s="0" t="n">
        <v>0.087</v>
      </c>
      <c r="T90" s="0" t="s">
        <v>34</v>
      </c>
      <c r="U90" s="0" t="n">
        <v>0.1417</v>
      </c>
      <c r="AA90" s="4" t="s">
        <v>218</v>
      </c>
      <c r="AB90" s="0" t="n">
        <f aca="false">FALSE()</f>
        <v>0</v>
      </c>
      <c r="AC90" s="4" t="s">
        <v>218</v>
      </c>
      <c r="AD90" s="4" t="s">
        <v>122</v>
      </c>
      <c r="AE90" s="4" t="s">
        <v>304</v>
      </c>
    </row>
    <row r="91" customFormat="false" ht="15" hidden="false" customHeight="false" outlineLevel="0" collapsed="false">
      <c r="A91" s="0" t="s">
        <v>31</v>
      </c>
      <c r="B91" s="0" t="n">
        <v>10000</v>
      </c>
      <c r="C91" s="0" t="n">
        <v>15000</v>
      </c>
      <c r="D91" s="0" t="s">
        <v>32</v>
      </c>
      <c r="E91" s="0" t="s">
        <v>33</v>
      </c>
      <c r="F91" s="0" t="n">
        <v>22.5</v>
      </c>
      <c r="G91" s="0" t="n">
        <v>0.248</v>
      </c>
      <c r="H91" s="0" t="n">
        <v>0.091</v>
      </c>
      <c r="I91" s="0" t="n">
        <v>0.9164</v>
      </c>
      <c r="J91" s="0" t="n">
        <v>0.676159215340305</v>
      </c>
      <c r="K91" s="0" t="n">
        <v>0.143906978529079</v>
      </c>
      <c r="L91" s="0" t="n">
        <v>2.58665287118469</v>
      </c>
      <c r="N91" s="0" t="n">
        <v>154156</v>
      </c>
      <c r="O91" s="0" t="n">
        <v>104234</v>
      </c>
      <c r="P91" s="0" t="n">
        <v>5799</v>
      </c>
      <c r="Q91" s="0" t="s">
        <v>34</v>
      </c>
      <c r="R91" s="0" t="n">
        <v>0.931</v>
      </c>
      <c r="S91" s="0" t="n">
        <v>0.001</v>
      </c>
      <c r="T91" s="0" t="s">
        <v>34</v>
      </c>
      <c r="U91" s="0" t="s">
        <v>34</v>
      </c>
      <c r="V91" s="0" t="s">
        <v>112</v>
      </c>
      <c r="W91" s="4" t="s">
        <v>113</v>
      </c>
      <c r="X91" s="0" t="s">
        <v>266</v>
      </c>
      <c r="Y91" s="4" t="s">
        <v>267</v>
      </c>
      <c r="Z91" s="4" t="s">
        <v>305</v>
      </c>
      <c r="AA91" s="0" t="s">
        <v>306</v>
      </c>
      <c r="AB91" s="0" t="n">
        <f aca="false">TRUE()</f>
        <v>1</v>
      </c>
      <c r="AC91" s="4" t="s">
        <v>307</v>
      </c>
      <c r="AD91" s="4" t="s">
        <v>50</v>
      </c>
      <c r="AE91" s="4" t="s">
        <v>308</v>
      </c>
    </row>
    <row r="92" customFormat="false" ht="15" hidden="false" customHeight="false" outlineLevel="0" collapsed="false">
      <c r="AD92" s="4" t="s">
        <v>122</v>
      </c>
      <c r="AE92" s="4" t="s">
        <v>309</v>
      </c>
    </row>
    <row r="93" customFormat="false" ht="15" hidden="false" customHeight="false" outlineLevel="0" collapsed="false">
      <c r="A93" s="0" t="s">
        <v>31</v>
      </c>
      <c r="B93" s="0" t="n">
        <v>3500</v>
      </c>
      <c r="C93" s="0" t="s">
        <v>43</v>
      </c>
      <c r="D93" s="0" t="s">
        <v>32</v>
      </c>
      <c r="E93" s="0" t="s">
        <v>44</v>
      </c>
      <c r="F93" s="0" t="n">
        <v>1.8</v>
      </c>
      <c r="G93" s="0" t="n">
        <v>0.495</v>
      </c>
      <c r="H93" s="0" t="n">
        <v>0.035</v>
      </c>
      <c r="I93" s="0" t="n">
        <v>0.9057</v>
      </c>
      <c r="J93" s="0" t="n">
        <v>0.411767399267399</v>
      </c>
      <c r="K93" s="0" t="n">
        <v>0.389191593461581</v>
      </c>
      <c r="L93" s="0" t="n">
        <v>4.46998722860792</v>
      </c>
      <c r="M93" s="0" t="n">
        <v>0.569754191762982</v>
      </c>
      <c r="N93" s="0" t="n">
        <v>21840</v>
      </c>
      <c r="O93" s="0" t="n">
        <v>8993</v>
      </c>
      <c r="P93" s="0" t="n">
        <v>783</v>
      </c>
      <c r="Q93" s="0" t="n">
        <v>6143</v>
      </c>
      <c r="R93" s="0" t="n">
        <v>0.715</v>
      </c>
      <c r="S93" s="0" t="n">
        <v>0.034</v>
      </c>
      <c r="T93" s="0" t="n">
        <v>0.527</v>
      </c>
      <c r="U93" s="0" t="s">
        <v>34</v>
      </c>
      <c r="AA93" s="0" t="s">
        <v>310</v>
      </c>
      <c r="AB93" s="0" t="n">
        <f aca="false">FALSE()</f>
        <v>0</v>
      </c>
      <c r="AC93" s="4" t="s">
        <v>311</v>
      </c>
      <c r="AD93" s="4" t="s">
        <v>157</v>
      </c>
      <c r="AE93" s="4" t="s">
        <v>312</v>
      </c>
    </row>
    <row r="94" customFormat="false" ht="15" hidden="false" customHeight="false" outlineLevel="0" collapsed="false">
      <c r="A94" s="0" t="s">
        <v>31</v>
      </c>
      <c r="B94" s="0" t="n">
        <v>90000</v>
      </c>
      <c r="C94" s="0" t="n">
        <v>105000</v>
      </c>
      <c r="D94" s="0" t="s">
        <v>39</v>
      </c>
      <c r="E94" s="0" t="s">
        <v>59</v>
      </c>
      <c r="F94" s="0" t="n">
        <v>98.7</v>
      </c>
      <c r="G94" s="0" t="n">
        <v>0.57</v>
      </c>
      <c r="H94" s="0" t="n">
        <v>0.018</v>
      </c>
      <c r="I94" s="0" t="n">
        <v>0.9716</v>
      </c>
      <c r="J94" s="0" t="n">
        <v>0.130025348997295</v>
      </c>
      <c r="K94" s="0" t="n">
        <v>1.31725859668051</v>
      </c>
      <c r="L94" s="0" t="n">
        <v>25.8684405025868</v>
      </c>
      <c r="M94" s="0" t="n">
        <v>11.8057117157634</v>
      </c>
      <c r="N94" s="0" t="n">
        <v>613042</v>
      </c>
      <c r="O94" s="0" t="n">
        <v>79711</v>
      </c>
      <c r="P94" s="0" t="n">
        <v>4059</v>
      </c>
      <c r="Q94" s="0" t="n">
        <v>8894</v>
      </c>
      <c r="R94" s="0" t="n">
        <v>0.825</v>
      </c>
      <c r="S94" s="0" t="n">
        <v>0.004</v>
      </c>
      <c r="T94" s="0" t="s">
        <v>34</v>
      </c>
      <c r="U94" s="0" t="s">
        <v>34</v>
      </c>
      <c r="V94" s="0" t="s">
        <v>313</v>
      </c>
      <c r="W94" s="4" t="s">
        <v>314</v>
      </c>
      <c r="X94" s="4" t="s">
        <v>315</v>
      </c>
      <c r="Y94" s="0" t="s">
        <v>316</v>
      </c>
      <c r="AA94" s="0" t="s">
        <v>317</v>
      </c>
      <c r="AB94" s="0" t="n">
        <f aca="false">TRUE()</f>
        <v>1</v>
      </c>
      <c r="AC94" s="4" t="s">
        <v>318</v>
      </c>
      <c r="AD94" s="4" t="s">
        <v>96</v>
      </c>
      <c r="AE94" s="4" t="s">
        <v>319</v>
      </c>
    </row>
    <row r="95" customFormat="false" ht="15" hidden="false" customHeight="false" outlineLevel="0" collapsed="false">
      <c r="A95" s="0" t="s">
        <v>31</v>
      </c>
      <c r="B95" s="0" t="n">
        <v>60000</v>
      </c>
      <c r="C95" s="0" t="n">
        <v>60000</v>
      </c>
      <c r="D95" s="0" t="s">
        <v>32</v>
      </c>
      <c r="E95" s="0" t="s">
        <v>59</v>
      </c>
      <c r="F95" s="0" t="n">
        <v>69.1</v>
      </c>
      <c r="G95" s="0" t="n">
        <v>0.56</v>
      </c>
      <c r="H95" s="0" t="n">
        <v>0.026</v>
      </c>
      <c r="I95" s="0" t="n">
        <v>0.9776</v>
      </c>
      <c r="J95" s="0" t="n">
        <v>0.249078361501159</v>
      </c>
      <c r="K95" s="0" t="n">
        <v>1.64758217316089</v>
      </c>
      <c r="L95" s="0" t="n">
        <v>10.4566050888811</v>
      </c>
      <c r="M95" s="0" t="n">
        <v>40.7331975560081</v>
      </c>
      <c r="N95" s="0" t="n">
        <v>146207</v>
      </c>
      <c r="O95" s="0" t="n">
        <v>36417</v>
      </c>
      <c r="P95" s="0" t="n">
        <v>5738</v>
      </c>
      <c r="Q95" s="0" t="n">
        <v>1473</v>
      </c>
      <c r="R95" s="0" t="n">
        <v>0.668</v>
      </c>
      <c r="S95" s="0" t="n">
        <v>0.052</v>
      </c>
      <c r="T95" s="0" t="s">
        <v>34</v>
      </c>
      <c r="U95" s="0" t="n">
        <v>0.4837</v>
      </c>
      <c r="AA95" s="4" t="s">
        <v>207</v>
      </c>
      <c r="AB95" s="0" t="n">
        <f aca="false">FALSE()</f>
        <v>0</v>
      </c>
      <c r="AC95" s="4" t="s">
        <v>207</v>
      </c>
      <c r="AD95" s="4" t="s">
        <v>122</v>
      </c>
      <c r="AE95" s="4" t="s">
        <v>320</v>
      </c>
    </row>
    <row r="96" customFormat="false" ht="15" hidden="false" customHeight="false" outlineLevel="0" collapsed="false">
      <c r="A96" s="0" t="s">
        <v>31</v>
      </c>
      <c r="B96" s="0" t="n">
        <v>60000</v>
      </c>
      <c r="C96" s="0" t="n">
        <v>75000</v>
      </c>
      <c r="D96" s="0" t="s">
        <v>39</v>
      </c>
      <c r="E96" s="0" t="s">
        <v>59</v>
      </c>
      <c r="F96" s="0" t="n">
        <v>58.2</v>
      </c>
      <c r="G96" s="0" t="n">
        <v>0.384</v>
      </c>
      <c r="H96" s="0" t="n">
        <v>0.037</v>
      </c>
      <c r="I96" s="0" t="n">
        <v>0.892</v>
      </c>
      <c r="J96" s="0" t="n">
        <v>0.19528883444081</v>
      </c>
      <c r="K96" s="0" t="n">
        <v>0.71502798142834</v>
      </c>
      <c r="L96" s="0" t="n">
        <v>8.92325996430696</v>
      </c>
      <c r="M96" s="0" t="n">
        <v>216.763005780347</v>
      </c>
      <c r="N96" s="0" t="n">
        <v>537107</v>
      </c>
      <c r="O96" s="0" t="n">
        <v>104891</v>
      </c>
      <c r="P96" s="0" t="n">
        <v>8405</v>
      </c>
      <c r="Q96" s="0" t="n">
        <v>346</v>
      </c>
      <c r="R96" s="0" t="n">
        <v>0.728</v>
      </c>
      <c r="S96" s="0" t="n">
        <v>0.009</v>
      </c>
      <c r="T96" s="0" t="s">
        <v>34</v>
      </c>
      <c r="U96" s="0" t="n">
        <v>0.6098</v>
      </c>
      <c r="AA96" s="0" t="s">
        <v>321</v>
      </c>
      <c r="AB96" s="0" t="n">
        <f aca="false">FALSE()</f>
        <v>0</v>
      </c>
      <c r="AC96" s="4" t="s">
        <v>322</v>
      </c>
      <c r="AD96" s="4" t="s">
        <v>126</v>
      </c>
      <c r="AE96" s="4" t="s">
        <v>323</v>
      </c>
    </row>
    <row r="97" customFormat="false" ht="15" hidden="false" customHeight="false" outlineLevel="0" collapsed="false">
      <c r="A97" s="0" t="s">
        <v>31</v>
      </c>
      <c r="B97" s="0" t="n">
        <v>40000</v>
      </c>
      <c r="C97" s="0" t="n">
        <v>40000</v>
      </c>
      <c r="D97" s="0" t="s">
        <v>39</v>
      </c>
      <c r="E97" s="0" t="s">
        <v>59</v>
      </c>
      <c r="F97" s="0" t="n">
        <v>62.4</v>
      </c>
      <c r="G97" s="0" t="n">
        <v>0.372</v>
      </c>
      <c r="H97" s="0" t="n">
        <v>0.072</v>
      </c>
      <c r="I97" s="0" t="n">
        <v>0.9112</v>
      </c>
      <c r="J97" s="0" t="n">
        <v>0.494685222634097</v>
      </c>
      <c r="K97" s="0" t="n">
        <v>0.275746065448329</v>
      </c>
      <c r="L97" s="0" t="n">
        <v>2.98284862043251</v>
      </c>
      <c r="M97" s="0" t="n">
        <v>122.324159021407</v>
      </c>
      <c r="N97" s="0" t="n">
        <v>293239</v>
      </c>
      <c r="O97" s="0" t="n">
        <v>145061</v>
      </c>
      <c r="P97" s="0" t="n">
        <v>13410</v>
      </c>
      <c r="Q97" s="0" t="n">
        <v>327</v>
      </c>
      <c r="R97" s="0" t="n">
        <v>0.56</v>
      </c>
      <c r="S97" s="0" t="n">
        <v>0.174</v>
      </c>
      <c r="T97" s="0" t="s">
        <v>34</v>
      </c>
      <c r="U97" s="0" t="n">
        <v>0.7292</v>
      </c>
      <c r="AA97" s="0" t="s">
        <v>324</v>
      </c>
      <c r="AB97" s="0" t="n">
        <f aca="false">FALSE()</f>
        <v>0</v>
      </c>
      <c r="AC97" s="4" t="s">
        <v>325</v>
      </c>
      <c r="AD97" s="4" t="s">
        <v>326</v>
      </c>
      <c r="AE97" s="4" t="s">
        <v>327</v>
      </c>
    </row>
    <row r="98" customFormat="false" ht="15" hidden="false" customHeight="false" outlineLevel="0" collapsed="false">
      <c r="A98" s="0" t="s">
        <v>31</v>
      </c>
      <c r="B98" s="0" t="n">
        <v>8000</v>
      </c>
      <c r="C98" s="0" t="n">
        <v>10000</v>
      </c>
      <c r="D98" s="0" t="s">
        <v>39</v>
      </c>
      <c r="E98" s="0" t="s">
        <v>44</v>
      </c>
      <c r="F98" s="0" t="n">
        <v>3.6</v>
      </c>
      <c r="G98" s="0" t="n">
        <v>0.305</v>
      </c>
      <c r="H98" s="0" t="n">
        <v>0.072</v>
      </c>
      <c r="I98" s="0" t="n">
        <v>0.8772</v>
      </c>
      <c r="J98" s="0" t="n">
        <v>0.612798209036845</v>
      </c>
      <c r="K98" s="0" t="n">
        <v>0.0174296191976798</v>
      </c>
      <c r="L98" s="0" t="n">
        <v>0.391358797745773</v>
      </c>
      <c r="M98" s="0" t="n">
        <v>0.457268279299465</v>
      </c>
      <c r="N98" s="0" t="n">
        <v>936256</v>
      </c>
      <c r="O98" s="0" t="n">
        <v>573736</v>
      </c>
      <c r="P98" s="0" t="n">
        <v>25552</v>
      </c>
      <c r="Q98" s="0" t="n">
        <v>21869</v>
      </c>
      <c r="R98" s="0" t="n">
        <v>0.909</v>
      </c>
      <c r="S98" s="0" t="n">
        <v>0.003</v>
      </c>
      <c r="T98" s="0" t="s">
        <v>34</v>
      </c>
      <c r="U98" s="0" t="n">
        <v>0.6101</v>
      </c>
      <c r="AA98" s="0" t="s">
        <v>328</v>
      </c>
      <c r="AB98" s="0" t="n">
        <f aca="false">FALSE()</f>
        <v>0</v>
      </c>
      <c r="AC98" s="4" t="s">
        <v>329</v>
      </c>
      <c r="AD98" s="4" t="s">
        <v>54</v>
      </c>
      <c r="AE98" s="4" t="s">
        <v>330</v>
      </c>
    </row>
    <row r="99" customFormat="false" ht="15" hidden="false" customHeight="false" outlineLevel="0" collapsed="false">
      <c r="A99" s="0" t="s">
        <v>31</v>
      </c>
      <c r="B99" s="0" t="n">
        <v>35000</v>
      </c>
      <c r="C99" s="0" t="n">
        <v>40000</v>
      </c>
      <c r="D99" s="0" t="s">
        <v>32</v>
      </c>
      <c r="E99" s="0" t="s">
        <v>33</v>
      </c>
      <c r="F99" s="0" t="n">
        <v>19.6</v>
      </c>
      <c r="G99" s="0" t="n">
        <v>0.31</v>
      </c>
      <c r="H99" s="0" t="n">
        <v>0.027</v>
      </c>
      <c r="I99" s="0" t="n">
        <v>0.9471</v>
      </c>
      <c r="J99" s="0" t="n">
        <v>0.0882322419339658</v>
      </c>
      <c r="K99" s="0" t="n">
        <v>1.09409190371991</v>
      </c>
      <c r="L99" s="0" t="n">
        <v>14.7710487444609</v>
      </c>
      <c r="M99" s="0" t="n">
        <v>6.26762770291445</v>
      </c>
      <c r="N99" s="0" t="n">
        <v>414361</v>
      </c>
      <c r="O99" s="0" t="n">
        <v>36560</v>
      </c>
      <c r="P99" s="0" t="n">
        <v>2708</v>
      </c>
      <c r="Q99" s="0" t="n">
        <v>6382</v>
      </c>
      <c r="R99" s="0" t="n">
        <v>0.645</v>
      </c>
      <c r="S99" s="0" t="n">
        <v>0.034</v>
      </c>
      <c r="T99" s="0" t="s">
        <v>34</v>
      </c>
      <c r="U99" s="0" t="n">
        <v>0.3645</v>
      </c>
      <c r="AA99" s="0" t="s">
        <v>331</v>
      </c>
      <c r="AB99" s="0" t="n">
        <f aca="false">FALSE()</f>
        <v>0</v>
      </c>
      <c r="AC99" s="4" t="s">
        <v>332</v>
      </c>
      <c r="AD99" s="4" t="s">
        <v>333</v>
      </c>
      <c r="AE99" s="4" t="s">
        <v>334</v>
      </c>
    </row>
    <row r="100" customFormat="false" ht="15" hidden="false" customHeight="false" outlineLevel="0" collapsed="false">
      <c r="A100" s="0" t="s">
        <v>31</v>
      </c>
      <c r="B100" s="0" t="n">
        <v>24000</v>
      </c>
      <c r="C100" s="0" t="n">
        <v>28000</v>
      </c>
      <c r="D100" s="0" t="s">
        <v>32</v>
      </c>
      <c r="E100" s="0" t="s">
        <v>33</v>
      </c>
      <c r="F100" s="0" t="n">
        <v>32.5</v>
      </c>
      <c r="G100" s="0" t="n">
        <v>0.464</v>
      </c>
      <c r="H100" s="0" t="n">
        <v>0.025</v>
      </c>
      <c r="I100" s="0" t="n">
        <v>0.9689</v>
      </c>
      <c r="J100" s="0" t="n">
        <v>0.134596721311475</v>
      </c>
      <c r="K100" s="0" t="n">
        <v>2.72824710123745</v>
      </c>
      <c r="L100" s="0" t="n">
        <v>16.6765932102442</v>
      </c>
      <c r="M100" s="0" t="n">
        <v>21.722265321955</v>
      </c>
      <c r="N100" s="0" t="n">
        <v>76250</v>
      </c>
      <c r="O100" s="0" t="n">
        <v>10263</v>
      </c>
      <c r="P100" s="0" t="n">
        <v>1679</v>
      </c>
      <c r="Q100" s="0" t="n">
        <v>1289</v>
      </c>
      <c r="R100" s="0" t="n">
        <v>0.614</v>
      </c>
      <c r="S100" s="0" t="n">
        <v>0.021</v>
      </c>
      <c r="T100" s="0" t="s">
        <v>34</v>
      </c>
      <c r="U100" s="0" t="n">
        <v>0.3271</v>
      </c>
      <c r="AA100" s="4" t="s">
        <v>207</v>
      </c>
      <c r="AB100" s="0" t="n">
        <f aca="false">FALSE()</f>
        <v>0</v>
      </c>
      <c r="AC100" s="4" t="s">
        <v>207</v>
      </c>
      <c r="AD100" s="4" t="s">
        <v>122</v>
      </c>
      <c r="AE100" s="4" t="s">
        <v>320</v>
      </c>
    </row>
    <row r="101" customFormat="false" ht="15" hidden="false" customHeight="false" outlineLevel="0" collapsed="false">
      <c r="A101" s="0" t="s">
        <v>31</v>
      </c>
      <c r="B101" s="0" t="n">
        <v>5688</v>
      </c>
      <c r="C101" s="0" t="n">
        <v>10000</v>
      </c>
      <c r="D101" s="0" t="s">
        <v>32</v>
      </c>
      <c r="E101" s="0" t="s">
        <v>33</v>
      </c>
      <c r="F101" s="0" t="n">
        <v>10.2</v>
      </c>
      <c r="G101" s="0" t="n">
        <v>0.424</v>
      </c>
      <c r="H101" s="0" t="n">
        <v>0.03</v>
      </c>
      <c r="I101" s="0" t="n">
        <v>0.97</v>
      </c>
      <c r="J101" s="0" t="n">
        <v>0.126633643459029</v>
      </c>
      <c r="K101" s="0" t="n">
        <v>0.721709006928406</v>
      </c>
      <c r="L101" s="0" t="n">
        <v>14.8809523809524</v>
      </c>
      <c r="M101" s="0" t="n">
        <v>21.505376344086</v>
      </c>
      <c r="N101" s="0" t="n">
        <v>109418</v>
      </c>
      <c r="O101" s="0" t="n">
        <v>13856</v>
      </c>
      <c r="P101" s="0" t="n">
        <v>672</v>
      </c>
      <c r="Q101" s="0" t="n">
        <v>465</v>
      </c>
      <c r="R101" s="0" t="n">
        <v>0.487</v>
      </c>
      <c r="S101" s="0" t="n">
        <v>0.053</v>
      </c>
      <c r="T101" s="0" t="s">
        <v>34</v>
      </c>
      <c r="U101" s="0" t="n">
        <v>0.3445</v>
      </c>
      <c r="V101" s="0" t="s">
        <v>335</v>
      </c>
      <c r="W101" s="4" t="s">
        <v>314</v>
      </c>
      <c r="Y101" s="4" t="s">
        <v>336</v>
      </c>
      <c r="AA101" s="0" t="s">
        <v>337</v>
      </c>
      <c r="AB101" s="0" t="n">
        <f aca="false">TRUE()</f>
        <v>1</v>
      </c>
      <c r="AC101" s="0" t="s">
        <v>338</v>
      </c>
      <c r="AD101" s="4" t="s">
        <v>339</v>
      </c>
      <c r="AE101" s="0" t="s">
        <v>340</v>
      </c>
    </row>
    <row r="102" customFormat="false" ht="15" hidden="false" customHeight="false" outlineLevel="0" collapsed="false">
      <c r="A102" s="0" t="s">
        <v>31</v>
      </c>
      <c r="B102" s="0" t="n">
        <v>5000</v>
      </c>
      <c r="C102" s="0" t="n">
        <v>18000</v>
      </c>
      <c r="D102" s="0" t="s">
        <v>32</v>
      </c>
      <c r="E102" s="0" t="s">
        <v>44</v>
      </c>
      <c r="F102" s="0" t="n">
        <v>9.5</v>
      </c>
      <c r="G102" s="0" t="n">
        <v>0.412</v>
      </c>
      <c r="H102" s="0" t="n">
        <v>0.035</v>
      </c>
      <c r="I102" s="0" t="n">
        <v>0.9759</v>
      </c>
      <c r="J102" s="0" t="n">
        <v>0.168406935530223</v>
      </c>
      <c r="K102" s="0" t="n">
        <v>2.55972696245734</v>
      </c>
      <c r="L102" s="0" t="n">
        <v>29.5081967213115</v>
      </c>
      <c r="M102" s="0" t="n">
        <v>165.137614678899</v>
      </c>
      <c r="N102" s="0" t="n">
        <v>41756</v>
      </c>
      <c r="O102" s="0" t="n">
        <v>7032</v>
      </c>
      <c r="P102" s="0" t="n">
        <v>610</v>
      </c>
      <c r="Q102" s="0" t="n">
        <v>109</v>
      </c>
      <c r="R102" s="0" t="n">
        <v>0.765</v>
      </c>
      <c r="S102" s="0" t="n">
        <v>0.005</v>
      </c>
      <c r="T102" s="0" t="s">
        <v>34</v>
      </c>
      <c r="U102" s="0" t="n">
        <v>0.1174</v>
      </c>
      <c r="AA102" s="0" t="s">
        <v>341</v>
      </c>
      <c r="AB102" s="0" t="n">
        <f aca="false">FALSE()</f>
        <v>0</v>
      </c>
      <c r="AC102" s="0" t="s">
        <v>342</v>
      </c>
      <c r="AD102" s="4" t="s">
        <v>122</v>
      </c>
      <c r="AE102" s="4" t="s">
        <v>343</v>
      </c>
    </row>
    <row r="103" customFormat="false" ht="15" hidden="false" customHeight="false" outlineLevel="0" collapsed="false">
      <c r="A103" s="0" t="s">
        <v>31</v>
      </c>
      <c r="B103" s="0" t="n">
        <v>9500</v>
      </c>
      <c r="C103" s="0" t="n">
        <v>10000</v>
      </c>
      <c r="D103" s="0" t="s">
        <v>32</v>
      </c>
      <c r="E103" s="0" t="s">
        <v>44</v>
      </c>
      <c r="F103" s="0" t="n">
        <v>5.7</v>
      </c>
      <c r="G103" s="0" t="n">
        <v>0.325</v>
      </c>
      <c r="H103" s="0" t="n">
        <v>0.053</v>
      </c>
      <c r="I103" s="0" t="n">
        <v>0.7061</v>
      </c>
      <c r="J103" s="0" t="n">
        <v>0.0940187472102366</v>
      </c>
      <c r="K103" s="0" t="n">
        <v>0.791264440576041</v>
      </c>
      <c r="L103" s="0" t="n">
        <v>9.15750915750916</v>
      </c>
      <c r="M103" s="0" t="n">
        <v>4.42282176028306</v>
      </c>
      <c r="N103" s="0" t="n">
        <v>134420</v>
      </c>
      <c r="O103" s="0" t="n">
        <v>12638</v>
      </c>
      <c r="P103" s="0" t="n">
        <v>1092</v>
      </c>
      <c r="Q103" s="0" t="n">
        <v>2261</v>
      </c>
      <c r="R103" s="0" t="n">
        <v>0.812</v>
      </c>
      <c r="S103" s="0" t="n">
        <v>0.049</v>
      </c>
      <c r="T103" s="0" t="s">
        <v>34</v>
      </c>
      <c r="U103" s="0" t="n">
        <v>0.2837</v>
      </c>
      <c r="AA103" s="0" t="s">
        <v>344</v>
      </c>
      <c r="AB103" s="0" t="n">
        <f aca="false">FALSE()</f>
        <v>0</v>
      </c>
      <c r="AC103" s="4" t="s">
        <v>345</v>
      </c>
      <c r="AD103" s="4" t="s">
        <v>333</v>
      </c>
      <c r="AE103" s="4" t="s">
        <v>346</v>
      </c>
    </row>
    <row r="104" customFormat="false" ht="15" hidden="false" customHeight="false" outlineLevel="0" collapsed="false">
      <c r="A104" s="0" t="s">
        <v>31</v>
      </c>
      <c r="B104" s="0" t="n">
        <v>3000</v>
      </c>
      <c r="C104" s="0" t="n">
        <v>3700</v>
      </c>
      <c r="D104" s="0" t="s">
        <v>32</v>
      </c>
      <c r="E104" s="0" t="s">
        <v>44</v>
      </c>
      <c r="F104" s="0" t="n">
        <v>5.5</v>
      </c>
      <c r="G104" s="0" t="n">
        <v>0.298</v>
      </c>
      <c r="H104" s="0" t="n">
        <v>0.071</v>
      </c>
      <c r="I104" s="0" t="n">
        <v>0.9413</v>
      </c>
      <c r="J104" s="0" t="n">
        <v>0.220350588879759</v>
      </c>
      <c r="K104" s="0" t="n">
        <v>1.14978247358608</v>
      </c>
      <c r="L104" s="0" t="n">
        <v>7.07456978967495</v>
      </c>
      <c r="M104" s="0" t="n">
        <v>90.2439024390244</v>
      </c>
      <c r="N104" s="0" t="n">
        <v>14604</v>
      </c>
      <c r="O104" s="0" t="n">
        <v>3218</v>
      </c>
      <c r="P104" s="0" t="n">
        <v>523</v>
      </c>
      <c r="Q104" s="0" t="n">
        <v>41</v>
      </c>
      <c r="R104" s="0" t="n">
        <v>0.668</v>
      </c>
      <c r="S104" s="0" t="n">
        <v>0.014</v>
      </c>
      <c r="T104" s="0" t="s">
        <v>34</v>
      </c>
      <c r="U104" s="0" t="n">
        <v>0.2452</v>
      </c>
      <c r="AA104" s="0" t="s">
        <v>347</v>
      </c>
      <c r="AB104" s="0" t="n">
        <f aca="false">FALSE()</f>
        <v>0</v>
      </c>
      <c r="AC104" s="4" t="s">
        <v>348</v>
      </c>
      <c r="AD104" s="4" t="s">
        <v>54</v>
      </c>
      <c r="AE104" s="4" t="s">
        <v>349</v>
      </c>
    </row>
    <row r="105" customFormat="false" ht="15" hidden="false" customHeight="false" outlineLevel="0" collapsed="false">
      <c r="A105" s="0" t="s">
        <v>31</v>
      </c>
      <c r="B105" s="0" t="n">
        <v>18000</v>
      </c>
      <c r="C105" s="0" t="n">
        <v>30000</v>
      </c>
      <c r="D105" s="0" t="s">
        <v>39</v>
      </c>
      <c r="E105" s="0" t="s">
        <v>59</v>
      </c>
      <c r="F105" s="0" t="n">
        <v>50.7</v>
      </c>
      <c r="G105" s="0" t="n">
        <v>0.269</v>
      </c>
      <c r="H105" s="0" t="n">
        <v>0.045</v>
      </c>
      <c r="I105" s="0" t="n">
        <v>0.8738</v>
      </c>
      <c r="J105" s="0" t="n">
        <v>0.0806860708850583</v>
      </c>
      <c r="K105" s="0" t="n">
        <v>1.77935943060498</v>
      </c>
      <c r="L105" s="0" t="n">
        <v>15.8898305084746</v>
      </c>
      <c r="N105" s="0" t="n">
        <v>208958</v>
      </c>
      <c r="O105" s="0" t="n">
        <v>16860</v>
      </c>
      <c r="P105" s="0" t="n">
        <v>1888</v>
      </c>
      <c r="Q105" s="0" t="s">
        <v>34</v>
      </c>
      <c r="R105" s="0" t="n">
        <v>0.892</v>
      </c>
      <c r="S105" s="0" t="n">
        <v>0.004</v>
      </c>
      <c r="T105" s="0" t="s">
        <v>34</v>
      </c>
      <c r="U105" s="0" t="n">
        <v>0.2143</v>
      </c>
      <c r="AA105" s="0" t="s">
        <v>350</v>
      </c>
      <c r="AB105" s="0" t="n">
        <f aca="false">FALSE()</f>
        <v>0</v>
      </c>
      <c r="AC105" s="4" t="s">
        <v>351</v>
      </c>
      <c r="AD105" s="4" t="s">
        <v>173</v>
      </c>
      <c r="AE105" s="4" t="s">
        <v>352</v>
      </c>
    </row>
    <row r="106" customFormat="false" ht="15" hidden="false" customHeight="false" outlineLevel="0" collapsed="false">
      <c r="A106" s="0" t="s">
        <v>31</v>
      </c>
      <c r="B106" s="0" t="n">
        <v>32000</v>
      </c>
      <c r="C106" s="0" t="n">
        <v>38000</v>
      </c>
      <c r="D106" s="0" t="s">
        <v>39</v>
      </c>
      <c r="E106" s="0" t="s">
        <v>33</v>
      </c>
      <c r="F106" s="0" t="n">
        <v>26.5</v>
      </c>
      <c r="G106" s="0" t="n">
        <v>0.319</v>
      </c>
      <c r="H106" s="0" t="n">
        <v>0.054</v>
      </c>
      <c r="I106" s="0" t="n">
        <v>0.8653</v>
      </c>
      <c r="J106" s="0" t="n">
        <v>0.131038993397284</v>
      </c>
      <c r="K106" s="0" t="n">
        <v>0.903170604173599</v>
      </c>
      <c r="L106" s="0" t="n">
        <v>14.8379539242483</v>
      </c>
      <c r="M106" s="0" t="n">
        <v>34.0196956132498</v>
      </c>
      <c r="N106" s="0" t="n">
        <v>321080</v>
      </c>
      <c r="O106" s="0" t="n">
        <v>42074</v>
      </c>
      <c r="P106" s="0" t="n">
        <v>2561</v>
      </c>
      <c r="Q106" s="0" t="n">
        <v>1117</v>
      </c>
      <c r="R106" s="0" t="n">
        <v>0.84</v>
      </c>
      <c r="S106" s="0" t="n">
        <v>0.005</v>
      </c>
      <c r="T106" s="0" t="s">
        <v>34</v>
      </c>
      <c r="U106" s="0" t="n">
        <v>0.473</v>
      </c>
      <c r="V106" s="0" t="s">
        <v>335</v>
      </c>
      <c r="W106" s="4" t="s">
        <v>314</v>
      </c>
      <c r="X106" s="0" t="s">
        <v>266</v>
      </c>
      <c r="Y106" s="4" t="s">
        <v>267</v>
      </c>
      <c r="AA106" s="5" t="s">
        <v>353</v>
      </c>
      <c r="AB106" s="0" t="n">
        <f aca="false">FALSE()</f>
        <v>0</v>
      </c>
      <c r="AC106" s="5" t="s">
        <v>353</v>
      </c>
      <c r="AD106" s="4" t="s">
        <v>54</v>
      </c>
      <c r="AE106" s="4" t="s">
        <v>354</v>
      </c>
    </row>
    <row r="107" customFormat="false" ht="15" hidden="false" customHeight="false" outlineLevel="0" collapsed="false">
      <c r="A107" s="0" t="s">
        <v>31</v>
      </c>
      <c r="B107" s="0" t="n">
        <v>15000</v>
      </c>
      <c r="C107" s="0" t="n">
        <v>20000</v>
      </c>
      <c r="D107" s="0" t="s">
        <v>32</v>
      </c>
      <c r="E107" s="0" t="s">
        <v>33</v>
      </c>
      <c r="F107" s="0" t="n">
        <v>22.7</v>
      </c>
      <c r="G107" s="0" t="n">
        <v>0.253</v>
      </c>
      <c r="H107" s="0" t="n">
        <v>0.093</v>
      </c>
      <c r="I107" s="0" t="n">
        <v>0.6804</v>
      </c>
      <c r="J107" s="0" t="n">
        <v>0.143557484930598</v>
      </c>
      <c r="K107" s="0" t="n">
        <v>0.385215431730195</v>
      </c>
      <c r="L107" s="0" t="n">
        <v>8.110300081103</v>
      </c>
      <c r="N107" s="0" t="n">
        <v>361660</v>
      </c>
      <c r="O107" s="0" t="n">
        <v>51919</v>
      </c>
      <c r="P107" s="0" t="n">
        <v>2466</v>
      </c>
      <c r="Q107" s="0" t="s">
        <v>34</v>
      </c>
      <c r="R107" s="0" t="n">
        <v>0.933</v>
      </c>
      <c r="S107" s="0" t="n">
        <v>0.001</v>
      </c>
      <c r="T107" s="0" t="s">
        <v>34</v>
      </c>
      <c r="U107" s="0" t="s">
        <v>34</v>
      </c>
      <c r="AA107" s="0" t="s">
        <v>355</v>
      </c>
      <c r="AB107" s="0" t="n">
        <f aca="false">FALSE()</f>
        <v>0</v>
      </c>
      <c r="AC107" s="4" t="s">
        <v>356</v>
      </c>
      <c r="AD107" s="4" t="s">
        <v>356</v>
      </c>
      <c r="AE107" s="4" t="s">
        <v>357</v>
      </c>
    </row>
    <row r="108" customFormat="false" ht="15" hidden="false" customHeight="false" outlineLevel="0" collapsed="false">
      <c r="AD108" s="4" t="s">
        <v>122</v>
      </c>
      <c r="AE108" s="4" t="s">
        <v>193</v>
      </c>
    </row>
    <row r="109" customFormat="false" ht="15" hidden="false" customHeight="false" outlineLevel="0" collapsed="false">
      <c r="A109" s="0" t="s">
        <v>31</v>
      </c>
      <c r="B109" s="0" t="n">
        <v>65000</v>
      </c>
      <c r="C109" s="0" t="n">
        <v>70000</v>
      </c>
      <c r="D109" s="0" t="s">
        <v>39</v>
      </c>
      <c r="E109" s="0" t="s">
        <v>59</v>
      </c>
      <c r="F109" s="0" t="n">
        <v>60.8</v>
      </c>
      <c r="G109" s="0" t="n">
        <v>0.24</v>
      </c>
      <c r="H109" s="0" t="n">
        <v>0.029</v>
      </c>
      <c r="I109" s="0" t="n">
        <v>0.9459</v>
      </c>
      <c r="J109" s="0" t="n">
        <v>0.574027591673429</v>
      </c>
      <c r="K109" s="0" t="n">
        <v>1.15071015255129</v>
      </c>
      <c r="L109" s="0" t="n">
        <v>14.002800560112</v>
      </c>
      <c r="M109" s="0" t="n">
        <v>24.4755244755245</v>
      </c>
      <c r="N109" s="0" t="n">
        <v>105974</v>
      </c>
      <c r="O109" s="0" t="n">
        <v>60832</v>
      </c>
      <c r="P109" s="0" t="n">
        <v>4999</v>
      </c>
      <c r="Q109" s="0" t="n">
        <v>2860</v>
      </c>
      <c r="R109" s="0" t="n">
        <v>0.849</v>
      </c>
      <c r="S109" s="0" t="n">
        <v>0.001</v>
      </c>
      <c r="T109" s="0" t="s">
        <v>34</v>
      </c>
      <c r="U109" s="0" t="n">
        <v>0.5856</v>
      </c>
      <c r="AA109" s="4" t="s">
        <v>207</v>
      </c>
      <c r="AB109" s="0" t="n">
        <f aca="false">FALSE()</f>
        <v>0</v>
      </c>
      <c r="AC109" s="4" t="s">
        <v>207</v>
      </c>
      <c r="AD109" s="4" t="s">
        <v>122</v>
      </c>
      <c r="AE109" s="4" t="s">
        <v>320</v>
      </c>
    </row>
    <row r="110" customFormat="false" ht="15" hidden="false" customHeight="false" outlineLevel="0" collapsed="false">
      <c r="A110" s="0" t="s">
        <v>31</v>
      </c>
      <c r="B110" s="0" t="n">
        <v>45000</v>
      </c>
      <c r="C110" s="0" t="n">
        <v>50000</v>
      </c>
      <c r="D110" s="0" t="s">
        <v>39</v>
      </c>
      <c r="E110" s="0" t="s">
        <v>59</v>
      </c>
      <c r="F110" s="0" t="n">
        <v>64</v>
      </c>
      <c r="G110" s="0" t="n">
        <v>0.534</v>
      </c>
      <c r="H110" s="0" t="n">
        <v>0.02</v>
      </c>
      <c r="I110" s="0" t="n">
        <v>0.8813</v>
      </c>
      <c r="J110" s="0" t="n">
        <v>0.0884821670805768</v>
      </c>
      <c r="K110" s="0" t="n">
        <v>2.35860182084061</v>
      </c>
      <c r="L110" s="0" t="n">
        <v>19.6001568012544</v>
      </c>
      <c r="M110" s="0" t="n">
        <v>543.478260869565</v>
      </c>
      <c r="N110" s="0" t="n">
        <v>239585</v>
      </c>
      <c r="O110" s="0" t="n">
        <v>21199</v>
      </c>
      <c r="P110" s="0" t="n">
        <v>2551</v>
      </c>
      <c r="Q110" s="0" t="n">
        <v>92</v>
      </c>
      <c r="R110" s="0" t="n">
        <v>0.692</v>
      </c>
      <c r="S110" s="0" t="n">
        <v>0.021</v>
      </c>
      <c r="T110" s="0" t="n">
        <v>0.0351</v>
      </c>
      <c r="U110" s="0" t="n">
        <v>0.3684</v>
      </c>
      <c r="AA110" s="0" t="s">
        <v>284</v>
      </c>
      <c r="AB110" s="0" t="n">
        <f aca="false">FALSE()</f>
        <v>0</v>
      </c>
      <c r="AC110" s="0" t="s">
        <v>285</v>
      </c>
      <c r="AD110" s="0" t="s">
        <v>70</v>
      </c>
      <c r="AE110" s="4" t="s">
        <v>358</v>
      </c>
    </row>
    <row r="111" customFormat="false" ht="15" hidden="false" customHeight="false" outlineLevel="0" collapsed="false">
      <c r="A111" s="0" t="s">
        <v>31</v>
      </c>
      <c r="B111" s="0" t="n">
        <v>3500</v>
      </c>
      <c r="C111" s="0" t="n">
        <v>2500</v>
      </c>
      <c r="D111" s="0" t="s">
        <v>32</v>
      </c>
      <c r="E111" s="0" t="s">
        <v>44</v>
      </c>
      <c r="F111" s="0" t="n">
        <v>5.9</v>
      </c>
      <c r="G111" s="0" t="n">
        <v>0.378</v>
      </c>
      <c r="H111" s="0" t="n">
        <v>0.035</v>
      </c>
      <c r="I111" s="0" t="n">
        <v>0.9012</v>
      </c>
      <c r="J111" s="0" t="n">
        <v>0.245334729859475</v>
      </c>
      <c r="K111" s="0" t="n">
        <v>0.249039419382382</v>
      </c>
      <c r="L111" s="0" t="n">
        <v>3.88026607538803</v>
      </c>
      <c r="M111" s="0" t="n">
        <v>13.3079847908745</v>
      </c>
      <c r="N111" s="0" t="n">
        <v>57285</v>
      </c>
      <c r="O111" s="0" t="n">
        <v>14054</v>
      </c>
      <c r="P111" s="0" t="n">
        <v>902</v>
      </c>
      <c r="Q111" s="0" t="n">
        <v>263</v>
      </c>
      <c r="R111" s="0" t="n">
        <v>0.774</v>
      </c>
      <c r="S111" s="0" t="n">
        <v>0.152</v>
      </c>
      <c r="T111" s="0" t="s">
        <v>34</v>
      </c>
      <c r="U111" s="0" t="s">
        <v>34</v>
      </c>
      <c r="AA111" s="0" t="s">
        <v>359</v>
      </c>
      <c r="AB111" s="0" t="n">
        <f aca="false">FALSE()</f>
        <v>0</v>
      </c>
      <c r="AC111" s="4" t="s">
        <v>360</v>
      </c>
      <c r="AD111" s="4" t="s">
        <v>66</v>
      </c>
      <c r="AE111" s="4" t="s">
        <v>361</v>
      </c>
    </row>
    <row r="112" customFormat="false" ht="15" hidden="false" customHeight="false" outlineLevel="0" collapsed="false">
      <c r="A112" s="0" t="s">
        <v>31</v>
      </c>
      <c r="B112" s="0" t="n">
        <v>6000</v>
      </c>
      <c r="C112" s="0" t="n">
        <v>7500</v>
      </c>
      <c r="D112" s="0" t="s">
        <v>32</v>
      </c>
      <c r="E112" s="0" t="s">
        <v>44</v>
      </c>
      <c r="F112" s="0" t="n">
        <v>8.3</v>
      </c>
      <c r="G112" s="0" t="n">
        <v>0.265</v>
      </c>
      <c r="H112" s="0" t="n">
        <v>0.032</v>
      </c>
      <c r="I112" s="0" t="n">
        <v>0.9229</v>
      </c>
      <c r="J112" s="0" t="n">
        <v>0.823545454545454</v>
      </c>
      <c r="K112" s="0" t="n">
        <v>0.220774919969091</v>
      </c>
      <c r="L112" s="0" t="n">
        <v>81.0810810810811</v>
      </c>
      <c r="M112" s="0" t="n">
        <v>19.2307692307692</v>
      </c>
      <c r="N112" s="0" t="n">
        <v>33000</v>
      </c>
      <c r="O112" s="0" t="n">
        <v>27177</v>
      </c>
      <c r="P112" s="0" t="n">
        <v>74</v>
      </c>
      <c r="Q112" s="0" t="n">
        <v>312</v>
      </c>
      <c r="R112" s="0" t="n">
        <v>0.842</v>
      </c>
      <c r="S112" s="0" t="n">
        <v>0.007</v>
      </c>
      <c r="T112" s="0" t="n">
        <v>0.3918</v>
      </c>
      <c r="U112" s="0" t="s">
        <v>34</v>
      </c>
      <c r="AA112" s="0" t="s">
        <v>362</v>
      </c>
      <c r="AB112" s="0" t="n">
        <f aca="false">FALSE()</f>
        <v>0</v>
      </c>
      <c r="AC112" s="4" t="s">
        <v>363</v>
      </c>
      <c r="AD112" s="4" t="s">
        <v>87</v>
      </c>
      <c r="AE112" s="4" t="s">
        <v>364</v>
      </c>
    </row>
    <row r="113" customFormat="false" ht="15" hidden="false" customHeight="false" outlineLevel="0" collapsed="false">
      <c r="A113" s="0" t="s">
        <v>31</v>
      </c>
      <c r="B113" s="0" t="n">
        <v>2800</v>
      </c>
      <c r="C113" s="0" t="n">
        <v>3000</v>
      </c>
      <c r="D113" s="0" t="s">
        <v>32</v>
      </c>
      <c r="E113" s="0" t="s">
        <v>44</v>
      </c>
      <c r="F113" s="0" t="n">
        <v>3.2</v>
      </c>
      <c r="G113" s="0" t="n">
        <v>0.301</v>
      </c>
      <c r="H113" s="0" t="n">
        <v>0.064</v>
      </c>
      <c r="I113" s="0" t="n">
        <v>0.8484</v>
      </c>
      <c r="J113" s="0" t="n">
        <v>0.86943836615609</v>
      </c>
      <c r="K113" s="0" t="n">
        <v>0.0903458957150232</v>
      </c>
      <c r="L113" s="0" t="n">
        <v>7.97720797720798</v>
      </c>
      <c r="M113" s="0" t="n">
        <v>1.45605824232969</v>
      </c>
      <c r="N113" s="0" t="n">
        <v>35646</v>
      </c>
      <c r="O113" s="0" t="n">
        <v>30992</v>
      </c>
      <c r="P113" s="0" t="n">
        <v>351</v>
      </c>
      <c r="Q113" s="0" t="n">
        <v>1923</v>
      </c>
      <c r="R113" s="0" t="n">
        <v>0.853</v>
      </c>
      <c r="S113" s="0" t="n">
        <v>0.135</v>
      </c>
      <c r="T113" s="0" t="n">
        <v>0.6338</v>
      </c>
      <c r="U113" s="0" t="s">
        <v>34</v>
      </c>
      <c r="AA113" s="0" t="s">
        <v>362</v>
      </c>
      <c r="AB113" s="0" t="n">
        <f aca="false">FALSE()</f>
        <v>0</v>
      </c>
      <c r="AC113" s="4" t="s">
        <v>363</v>
      </c>
      <c r="AD113" s="4" t="s">
        <v>87</v>
      </c>
      <c r="AE113" s="4" t="s">
        <v>364</v>
      </c>
    </row>
    <row r="114" customFormat="false" ht="15" hidden="false" customHeight="false" outlineLevel="0" collapsed="false">
      <c r="A114" s="0" t="s">
        <v>31</v>
      </c>
      <c r="B114" s="0" t="n">
        <v>5000</v>
      </c>
      <c r="C114" s="0" t="s">
        <v>43</v>
      </c>
      <c r="D114" s="0" t="s">
        <v>32</v>
      </c>
      <c r="E114" s="0" t="s">
        <v>44</v>
      </c>
      <c r="F114" s="0" t="n">
        <v>3.8</v>
      </c>
      <c r="G114" s="0" t="n">
        <v>0.17</v>
      </c>
      <c r="H114" s="0" t="n">
        <v>0.072</v>
      </c>
      <c r="I114" s="0" t="n">
        <v>0.8998</v>
      </c>
      <c r="J114" s="0" t="n">
        <v>0.0672918342033884</v>
      </c>
      <c r="K114" s="0" t="n">
        <v>1.01276078590237</v>
      </c>
      <c r="L114" s="0" t="n">
        <v>11.0132158590308</v>
      </c>
      <c r="M114" s="0" t="n">
        <v>21.551724137931</v>
      </c>
      <c r="N114" s="0" t="n">
        <v>73367</v>
      </c>
      <c r="O114" s="0" t="n">
        <v>4937</v>
      </c>
      <c r="P114" s="0" t="n">
        <v>454</v>
      </c>
      <c r="Q114" s="0" t="n">
        <v>232</v>
      </c>
      <c r="R114" s="0" t="n">
        <v>0.785</v>
      </c>
      <c r="S114" s="0" t="n">
        <v>0.133</v>
      </c>
      <c r="T114" s="0" t="n">
        <v>0.2949</v>
      </c>
      <c r="U114" s="0" t="s">
        <v>34</v>
      </c>
      <c r="AA114" s="0" t="s">
        <v>365</v>
      </c>
      <c r="AB114" s="0" t="n">
        <f aca="false">FALSE()</f>
        <v>0</v>
      </c>
      <c r="AC114" s="4" t="s">
        <v>366</v>
      </c>
      <c r="AD114" s="4" t="s">
        <v>87</v>
      </c>
      <c r="AE114" s="4" t="s">
        <v>367</v>
      </c>
    </row>
    <row r="115" customFormat="false" ht="15" hidden="false" customHeight="false" outlineLevel="0" collapsed="false">
      <c r="A115" s="0" t="s">
        <v>31</v>
      </c>
      <c r="B115" s="0" t="n">
        <v>1000</v>
      </c>
      <c r="C115" s="0" t="n">
        <v>800</v>
      </c>
      <c r="D115" s="0" t="s">
        <v>39</v>
      </c>
      <c r="E115" s="0" t="s">
        <v>44</v>
      </c>
      <c r="F115" s="0" t="n">
        <v>3.5</v>
      </c>
      <c r="G115" s="0" t="n">
        <v>0.576</v>
      </c>
      <c r="H115" s="0" t="n">
        <v>0.018</v>
      </c>
      <c r="I115" s="0" t="n">
        <v>0.8428</v>
      </c>
      <c r="J115" s="0" t="n">
        <v>0.105669611644315</v>
      </c>
      <c r="K115" s="0" t="n">
        <v>0.013076168682576</v>
      </c>
      <c r="L115" s="0" t="n">
        <v>0.301114122252334</v>
      </c>
      <c r="M115" s="0" t="n">
        <v>3.7037037037037</v>
      </c>
      <c r="N115" s="0" t="n">
        <v>723718</v>
      </c>
      <c r="O115" s="0" t="n">
        <v>76475</v>
      </c>
      <c r="P115" s="0" t="n">
        <v>3321</v>
      </c>
      <c r="Q115" s="0" t="n">
        <v>270</v>
      </c>
      <c r="R115" s="0" t="n">
        <v>0.957</v>
      </c>
      <c r="S115" s="0" t="n">
        <v>0.026</v>
      </c>
      <c r="T115" s="0" t="n">
        <v>0.7131</v>
      </c>
      <c r="U115" s="0" t="s">
        <v>34</v>
      </c>
      <c r="AA115" s="0" t="s">
        <v>368</v>
      </c>
      <c r="AB115" s="0" t="n">
        <f aca="false">FALSE()</f>
        <v>0</v>
      </c>
      <c r="AC115" s="4" t="s">
        <v>369</v>
      </c>
      <c r="AD115" s="4" t="s">
        <v>133</v>
      </c>
      <c r="AE115" s="4" t="s">
        <v>370</v>
      </c>
    </row>
    <row r="116" customFormat="false" ht="15" hidden="false" customHeight="false" outlineLevel="0" collapsed="false">
      <c r="A116" s="0" t="s">
        <v>31</v>
      </c>
      <c r="B116" s="0" t="n">
        <v>3000</v>
      </c>
      <c r="C116" s="0" t="s">
        <v>43</v>
      </c>
      <c r="D116" s="0" t="s">
        <v>32</v>
      </c>
      <c r="E116" s="0" t="s">
        <v>44</v>
      </c>
      <c r="F116" s="0" t="n">
        <v>2.9</v>
      </c>
      <c r="G116" s="0" t="n">
        <v>0.4</v>
      </c>
      <c r="H116" s="0" t="n">
        <v>0.058</v>
      </c>
      <c r="I116" s="0" t="n">
        <v>0.8439</v>
      </c>
      <c r="J116" s="0" t="n">
        <v>0.135681586978637</v>
      </c>
      <c r="K116" s="0" t="n">
        <v>1.4058106841612</v>
      </c>
      <c r="L116" s="0" t="n">
        <v>8.19672131147541</v>
      </c>
      <c r="M116" s="0" t="n">
        <v>49.1803278688525</v>
      </c>
      <c r="N116" s="0" t="n">
        <v>15728</v>
      </c>
      <c r="O116" s="0" t="n">
        <v>2134</v>
      </c>
      <c r="P116" s="0" t="n">
        <v>366</v>
      </c>
      <c r="Q116" s="0" t="n">
        <v>61</v>
      </c>
      <c r="R116" s="0" t="n">
        <v>0.715</v>
      </c>
      <c r="S116" s="0" t="n">
        <v>0.227</v>
      </c>
      <c r="T116" s="0" t="n">
        <v>0.2856</v>
      </c>
      <c r="U116" s="0" t="s">
        <v>34</v>
      </c>
      <c r="AA116" s="0" t="s">
        <v>362</v>
      </c>
      <c r="AB116" s="0" t="n">
        <f aca="false">FALSE()</f>
        <v>0</v>
      </c>
      <c r="AC116" s="4" t="s">
        <v>363</v>
      </c>
      <c r="AD116" s="4" t="s">
        <v>66</v>
      </c>
      <c r="AE116" s="4" t="s">
        <v>371</v>
      </c>
    </row>
    <row r="117" customFormat="false" ht="15" hidden="false" customHeight="false" outlineLevel="0" collapsed="false">
      <c r="A117" s="0" t="s">
        <v>31</v>
      </c>
      <c r="B117" s="0" t="n">
        <v>28000</v>
      </c>
      <c r="C117" s="0" t="n">
        <v>40000</v>
      </c>
      <c r="D117" s="0" t="s">
        <v>32</v>
      </c>
      <c r="E117" s="0" t="s">
        <v>59</v>
      </c>
      <c r="F117" s="0" t="n">
        <v>82.7</v>
      </c>
      <c r="G117" s="0" t="n">
        <v>0.465</v>
      </c>
      <c r="H117" s="0" t="n">
        <v>0.032</v>
      </c>
      <c r="I117" s="0" t="n">
        <v>0.6788</v>
      </c>
      <c r="J117" s="0" t="n">
        <v>0.177551246362141</v>
      </c>
      <c r="K117" s="0" t="n">
        <v>1.78165783261325</v>
      </c>
      <c r="L117" s="0" t="n">
        <v>11.1234705228031</v>
      </c>
      <c r="M117" s="0" t="n">
        <v>50.761421319797</v>
      </c>
      <c r="N117" s="0" t="n">
        <v>126448</v>
      </c>
      <c r="O117" s="0" t="n">
        <v>22451</v>
      </c>
      <c r="P117" s="0" t="n">
        <v>3596</v>
      </c>
      <c r="Q117" s="0" t="n">
        <v>788</v>
      </c>
      <c r="R117" s="0" t="n">
        <v>0.913</v>
      </c>
      <c r="S117" s="0" t="n">
        <v>0.005</v>
      </c>
      <c r="T117" s="0" t="s">
        <v>34</v>
      </c>
      <c r="U117" s="0" t="n">
        <v>0.4751</v>
      </c>
      <c r="V117" s="0" t="s">
        <v>372</v>
      </c>
      <c r="W117" s="4" t="s">
        <v>90</v>
      </c>
      <c r="X117" s="4" t="s">
        <v>182</v>
      </c>
      <c r="Y117" s="4" t="s">
        <v>373</v>
      </c>
      <c r="AA117" s="0" t="s">
        <v>374</v>
      </c>
      <c r="AB117" s="0" t="n">
        <f aca="false">TRUE()</f>
        <v>1</v>
      </c>
      <c r="AC117" s="4" t="s">
        <v>375</v>
      </c>
      <c r="AD117" s="4" t="s">
        <v>376</v>
      </c>
      <c r="AE117" s="4" t="s">
        <v>377</v>
      </c>
    </row>
    <row r="118" customFormat="false" ht="15" hidden="false" customHeight="false" outlineLevel="0" collapsed="false">
      <c r="A118" s="0" t="s">
        <v>31</v>
      </c>
      <c r="B118" s="0" t="n">
        <v>15000</v>
      </c>
      <c r="C118" s="0" t="n">
        <v>18000</v>
      </c>
      <c r="D118" s="0" t="s">
        <v>32</v>
      </c>
      <c r="E118" s="0" t="s">
        <v>33</v>
      </c>
      <c r="F118" s="0" t="n">
        <v>14.6</v>
      </c>
      <c r="G118" s="0" t="n">
        <v>0.285</v>
      </c>
      <c r="H118" s="0" t="n">
        <v>0.059</v>
      </c>
      <c r="I118" s="0" t="n">
        <v>0.9279</v>
      </c>
      <c r="J118" s="0" t="n">
        <v>0.265047128917418</v>
      </c>
      <c r="K118" s="0" t="n">
        <v>1.25269677778551</v>
      </c>
      <c r="L118" s="0" t="n">
        <v>0.965820679293878</v>
      </c>
      <c r="M118" s="0" t="n">
        <v>104.046242774566</v>
      </c>
      <c r="N118" s="0" t="n">
        <v>54213</v>
      </c>
      <c r="O118" s="0" t="n">
        <v>14369</v>
      </c>
      <c r="P118" s="0" t="n">
        <v>18637</v>
      </c>
      <c r="Q118" s="0" t="n">
        <v>173</v>
      </c>
      <c r="R118" s="0" t="n">
        <v>0.808</v>
      </c>
      <c r="S118" s="0" t="n">
        <v>0.002</v>
      </c>
      <c r="T118" s="0" t="s">
        <v>34</v>
      </c>
      <c r="U118" s="0" t="n">
        <v>0.1074</v>
      </c>
      <c r="AA118" s="4" t="s">
        <v>207</v>
      </c>
      <c r="AB118" s="0" t="n">
        <f aca="false">FALSE()</f>
        <v>0</v>
      </c>
      <c r="AC118" s="4" t="s">
        <v>207</v>
      </c>
      <c r="AD118" s="4" t="s">
        <v>122</v>
      </c>
      <c r="AE118" s="4" t="s">
        <v>208</v>
      </c>
    </row>
    <row r="119" customFormat="false" ht="15" hidden="false" customHeight="false" outlineLevel="0" collapsed="false">
      <c r="A119" s="0" t="s">
        <v>31</v>
      </c>
      <c r="B119" s="0" t="n">
        <v>3000</v>
      </c>
      <c r="C119" s="0" t="n">
        <v>5500</v>
      </c>
      <c r="D119" s="0" t="s">
        <v>39</v>
      </c>
      <c r="E119" s="0" t="s">
        <v>33</v>
      </c>
      <c r="F119" s="0" t="n">
        <v>18.3</v>
      </c>
      <c r="G119" s="0" t="n">
        <v>0.502</v>
      </c>
      <c r="H119" s="0" t="n">
        <v>0.035</v>
      </c>
      <c r="I119" s="0" t="n">
        <v>0.9381</v>
      </c>
      <c r="J119" s="0" t="n">
        <v>0.134988196580585</v>
      </c>
      <c r="K119" s="0" t="n">
        <v>1.45733969263381</v>
      </c>
      <c r="L119" s="0" t="n">
        <v>17.8571428571429</v>
      </c>
      <c r="N119" s="0" t="n">
        <v>27958</v>
      </c>
      <c r="O119" s="0" t="n">
        <v>3774</v>
      </c>
      <c r="P119" s="0" t="n">
        <v>308</v>
      </c>
      <c r="Q119" s="0" t="s">
        <v>43</v>
      </c>
      <c r="R119" s="0" t="n">
        <v>0.72</v>
      </c>
      <c r="S119" s="0" t="n">
        <v>0.003</v>
      </c>
      <c r="T119" s="0" t="s">
        <v>34</v>
      </c>
      <c r="U119" s="0" t="s">
        <v>34</v>
      </c>
      <c r="AA119" s="0" t="s">
        <v>378</v>
      </c>
      <c r="AB119" s="0" t="n">
        <f aca="false">FALSE()</f>
        <v>0</v>
      </c>
      <c r="AC119" s="0" t="s">
        <v>379</v>
      </c>
      <c r="AD119" s="4" t="s">
        <v>87</v>
      </c>
      <c r="AE119" s="4" t="s">
        <v>380</v>
      </c>
    </row>
    <row r="120" customFormat="false" ht="15" hidden="false" customHeight="false" outlineLevel="0" collapsed="false">
      <c r="A120" s="0" t="s">
        <v>31</v>
      </c>
      <c r="B120" s="0" t="n">
        <v>4000</v>
      </c>
      <c r="C120" s="0" t="n">
        <v>6000</v>
      </c>
      <c r="D120" s="0" t="s">
        <v>39</v>
      </c>
      <c r="E120" s="0" t="s">
        <v>44</v>
      </c>
      <c r="F120" s="0" t="n">
        <v>2.3</v>
      </c>
      <c r="G120" s="0" t="n">
        <v>0.596</v>
      </c>
      <c r="H120" s="0" t="n">
        <v>0.016</v>
      </c>
      <c r="I120" s="0" t="n">
        <v>0.9017</v>
      </c>
      <c r="J120" s="0" t="n">
        <v>0.134618844838961</v>
      </c>
      <c r="K120" s="0" t="n">
        <v>0.668300289596792</v>
      </c>
      <c r="L120" s="0" t="n">
        <v>11.2359550561798</v>
      </c>
      <c r="M120" s="0" t="n">
        <v>750</v>
      </c>
      <c r="N120" s="0" t="n">
        <v>66692</v>
      </c>
      <c r="O120" s="0" t="n">
        <v>8978</v>
      </c>
      <c r="P120" s="0" t="n">
        <v>534</v>
      </c>
      <c r="Q120" s="0" t="n">
        <v>8</v>
      </c>
      <c r="R120" s="0" t="n">
        <v>0.565</v>
      </c>
      <c r="S120" s="0" t="n">
        <v>0.024</v>
      </c>
      <c r="T120" s="0" t="s">
        <v>34</v>
      </c>
      <c r="U120" s="0" t="s">
        <v>34</v>
      </c>
      <c r="AA120" s="0" t="s">
        <v>284</v>
      </c>
      <c r="AB120" s="0" t="n">
        <f aca="false">FALSE()</f>
        <v>0</v>
      </c>
      <c r="AC120" s="0" t="s">
        <v>285</v>
      </c>
      <c r="AD120" s="0" t="s">
        <v>70</v>
      </c>
      <c r="AE120" s="4" t="s">
        <v>136</v>
      </c>
    </row>
    <row r="121" customFormat="false" ht="15" hidden="false" customHeight="false" outlineLevel="0" collapsed="false">
      <c r="A121" s="0" t="s">
        <v>31</v>
      </c>
      <c r="B121" s="0" t="n">
        <v>4000</v>
      </c>
      <c r="C121" s="0" t="n">
        <v>4500</v>
      </c>
      <c r="D121" s="0" t="s">
        <v>32</v>
      </c>
      <c r="E121" s="0" t="s">
        <v>44</v>
      </c>
      <c r="F121" s="0" t="n">
        <v>3.1</v>
      </c>
      <c r="G121" s="0" t="n">
        <v>0.395</v>
      </c>
      <c r="H121" s="0" t="n">
        <v>0.024</v>
      </c>
      <c r="I121" s="0" t="n">
        <v>0.9448</v>
      </c>
      <c r="J121" s="0" t="n">
        <v>0.103731746890211</v>
      </c>
      <c r="K121" s="0" t="n">
        <v>2.08550573514077</v>
      </c>
      <c r="L121" s="0" t="n">
        <v>11.5942028985507</v>
      </c>
      <c r="M121" s="0" t="n">
        <v>14.2348754448399</v>
      </c>
      <c r="N121" s="0" t="n">
        <v>18490</v>
      </c>
      <c r="O121" s="0" t="n">
        <v>1918</v>
      </c>
      <c r="P121" s="0" t="n">
        <v>345</v>
      </c>
      <c r="Q121" s="0" t="n">
        <v>281</v>
      </c>
      <c r="R121" s="0" t="n">
        <v>0.755</v>
      </c>
      <c r="S121" s="0" t="n">
        <v>0.094</v>
      </c>
      <c r="T121" s="0" t="s">
        <v>34</v>
      </c>
      <c r="U121" s="0" t="s">
        <v>34</v>
      </c>
      <c r="AA121" s="0" t="s">
        <v>381</v>
      </c>
      <c r="AB121" s="0" t="n">
        <f aca="false">FALSE()</f>
        <v>0</v>
      </c>
      <c r="AC121" s="4" t="s">
        <v>382</v>
      </c>
      <c r="AD121" s="4" t="s">
        <v>66</v>
      </c>
      <c r="AE121" s="4" t="s">
        <v>383</v>
      </c>
    </row>
    <row r="122" customFormat="false" ht="15" hidden="false" customHeight="false" outlineLevel="0" collapsed="false">
      <c r="A122" s="0" t="s">
        <v>31</v>
      </c>
      <c r="B122" s="0" t="n">
        <v>4500</v>
      </c>
      <c r="C122" s="0" t="n">
        <v>6000</v>
      </c>
      <c r="D122" s="0" t="s">
        <v>32</v>
      </c>
      <c r="E122" s="0" t="s">
        <v>44</v>
      </c>
      <c r="F122" s="0" t="n">
        <v>3.1</v>
      </c>
      <c r="G122" s="0" t="n">
        <v>0.402</v>
      </c>
      <c r="H122" s="0" t="n">
        <v>0.05</v>
      </c>
      <c r="I122" s="0" t="n">
        <v>0.7577</v>
      </c>
      <c r="J122" s="0" t="n">
        <v>0.114883052397753</v>
      </c>
      <c r="K122" s="0" t="n">
        <v>0.511828935395814</v>
      </c>
      <c r="L122" s="0" t="n">
        <v>7.15421303656598</v>
      </c>
      <c r="M122" s="0" t="n">
        <v>27.4390243902439</v>
      </c>
      <c r="N122" s="0" t="n">
        <v>76530</v>
      </c>
      <c r="O122" s="0" t="n">
        <v>8792</v>
      </c>
      <c r="P122" s="0" t="n">
        <v>629</v>
      </c>
      <c r="Q122" s="0" t="n">
        <v>164</v>
      </c>
      <c r="R122" s="0" t="n">
        <v>0.766</v>
      </c>
      <c r="S122" s="0" t="n">
        <v>0.193</v>
      </c>
      <c r="T122" s="0" t="n">
        <v>0.4633</v>
      </c>
      <c r="U122" s="0" t="s">
        <v>34</v>
      </c>
      <c r="V122" s="0" t="s">
        <v>372</v>
      </c>
      <c r="W122" s="4" t="s">
        <v>46</v>
      </c>
      <c r="X122" s="4" t="s">
        <v>289</v>
      </c>
      <c r="Y122" s="4" t="s">
        <v>47</v>
      </c>
      <c r="AA122" s="0" t="s">
        <v>384</v>
      </c>
      <c r="AB122" s="0" t="n">
        <f aca="false">TRUE()</f>
        <v>1</v>
      </c>
      <c r="AC122" s="4" t="s">
        <v>385</v>
      </c>
      <c r="AD122" s="4" t="s">
        <v>339</v>
      </c>
      <c r="AE122" s="4" t="s">
        <v>386</v>
      </c>
    </row>
    <row r="123" customFormat="false" ht="15" hidden="false" customHeight="false" outlineLevel="0" collapsed="false">
      <c r="A123" s="0" t="s">
        <v>31</v>
      </c>
      <c r="B123" s="0" t="s">
        <v>43</v>
      </c>
      <c r="C123" s="0" t="n">
        <v>13600</v>
      </c>
      <c r="D123" s="0" t="s">
        <v>32</v>
      </c>
      <c r="E123" s="0" t="s">
        <v>33</v>
      </c>
      <c r="F123" s="0" t="n">
        <v>15.3</v>
      </c>
      <c r="G123" s="0" t="n">
        <v>0.374</v>
      </c>
      <c r="H123" s="0" t="n">
        <v>0.028</v>
      </c>
      <c r="I123" s="0" t="n">
        <v>0.9753</v>
      </c>
      <c r="J123" s="0" t="n">
        <v>0.194839615802827</v>
      </c>
      <c r="K123" s="0" t="n">
        <v>1.58121148703639</v>
      </c>
      <c r="L123" s="0" t="n">
        <v>6.25862862402209</v>
      </c>
      <c r="M123" s="0" t="n">
        <v>53.968253968254</v>
      </c>
      <c r="N123" s="0" t="n">
        <v>44144</v>
      </c>
      <c r="O123" s="0" t="n">
        <v>8601</v>
      </c>
      <c r="P123" s="0" t="n">
        <v>2173</v>
      </c>
      <c r="Q123" s="0" t="n">
        <v>252</v>
      </c>
      <c r="R123" s="0" t="n">
        <v>0.616</v>
      </c>
      <c r="S123" s="0" t="n">
        <v>0.026</v>
      </c>
      <c r="T123" s="0" t="s">
        <v>34</v>
      </c>
      <c r="U123" s="0" t="n">
        <v>0.2669</v>
      </c>
      <c r="V123" s="0" t="s">
        <v>372</v>
      </c>
      <c r="W123" s="4" t="s">
        <v>90</v>
      </c>
      <c r="X123" s="4" t="s">
        <v>289</v>
      </c>
      <c r="Y123" s="4" t="s">
        <v>336</v>
      </c>
      <c r="AA123" s="0" t="s">
        <v>387</v>
      </c>
      <c r="AB123" s="0" t="n">
        <f aca="false">TRUE()</f>
        <v>1</v>
      </c>
      <c r="AC123" s="4" t="s">
        <v>388</v>
      </c>
      <c r="AD123" s="4" t="s">
        <v>389</v>
      </c>
      <c r="AE123" s="4" t="s">
        <v>390</v>
      </c>
    </row>
    <row r="124" customFormat="false" ht="15" hidden="false" customHeight="false" outlineLevel="0" collapsed="false">
      <c r="AD124" s="4" t="s">
        <v>122</v>
      </c>
      <c r="AE124" s="4" t="s">
        <v>391</v>
      </c>
    </row>
    <row r="125" customFormat="false" ht="15" hidden="false" customHeight="false" outlineLevel="0" collapsed="false">
      <c r="A125" s="0" t="s">
        <v>31</v>
      </c>
      <c r="B125" s="0" t="n">
        <v>6000</v>
      </c>
      <c r="C125" s="0" t="n">
        <v>9000</v>
      </c>
      <c r="D125" s="0" t="s">
        <v>39</v>
      </c>
      <c r="E125" s="0" t="s">
        <v>44</v>
      </c>
      <c r="F125" s="0" t="n">
        <v>7.9</v>
      </c>
      <c r="G125" s="0" t="n">
        <v>0.46</v>
      </c>
      <c r="H125" s="0" t="n">
        <v>0.02</v>
      </c>
      <c r="I125" s="0" t="n">
        <v>0.9087</v>
      </c>
      <c r="J125" s="0" t="n">
        <v>0.110646415731161</v>
      </c>
      <c r="K125" s="0" t="n">
        <v>1.9893899204244</v>
      </c>
      <c r="L125" s="0" t="n">
        <v>47.6190476190476</v>
      </c>
      <c r="M125" s="0" t="n">
        <v>692.307692307692</v>
      </c>
      <c r="N125" s="0" t="n">
        <v>40887</v>
      </c>
      <c r="O125" s="0" t="n">
        <v>4524</v>
      </c>
      <c r="P125" s="0" t="n">
        <v>189</v>
      </c>
      <c r="Q125" s="0" t="n">
        <v>13</v>
      </c>
      <c r="R125" s="0" t="n">
        <v>0.657</v>
      </c>
      <c r="S125" s="0" t="n">
        <v>0.015</v>
      </c>
      <c r="T125" s="0" t="n">
        <v>0.2023</v>
      </c>
      <c r="U125" s="0" t="n">
        <v>0.0165</v>
      </c>
      <c r="AA125" s="0" t="s">
        <v>392</v>
      </c>
      <c r="AB125" s="0" t="n">
        <f aca="false">FALSE()</f>
        <v>0</v>
      </c>
      <c r="AC125" s="0" t="s">
        <v>393</v>
      </c>
      <c r="AD125" s="4" t="s">
        <v>37</v>
      </c>
      <c r="AE125" s="4" t="s">
        <v>394</v>
      </c>
    </row>
    <row r="126" customFormat="false" ht="15" hidden="false" customHeight="false" outlineLevel="0" collapsed="false">
      <c r="A126" s="0" t="s">
        <v>31</v>
      </c>
      <c r="B126" s="0" t="n">
        <v>9500</v>
      </c>
      <c r="C126" s="0" t="n">
        <v>18000</v>
      </c>
      <c r="D126" s="0" t="s">
        <v>39</v>
      </c>
      <c r="E126" s="0" t="s">
        <v>44</v>
      </c>
      <c r="F126" s="0" t="n">
        <v>8.1</v>
      </c>
      <c r="G126" s="0" t="n">
        <v>0.386</v>
      </c>
      <c r="H126" s="0" t="n">
        <v>0.036</v>
      </c>
      <c r="I126" s="0" t="n">
        <v>0.8753</v>
      </c>
      <c r="J126" s="0" t="n">
        <v>0.143540323164988</v>
      </c>
      <c r="K126" s="0" t="n">
        <v>1.81726400807673</v>
      </c>
      <c r="L126" s="0" t="n">
        <v>12.0886501007388</v>
      </c>
      <c r="M126" s="0" t="n">
        <v>4.64876033057851</v>
      </c>
      <c r="N126" s="0" t="n">
        <v>69005</v>
      </c>
      <c r="O126" s="0" t="n">
        <v>9905</v>
      </c>
      <c r="P126" s="0" t="n">
        <v>1489</v>
      </c>
      <c r="Q126" s="0" t="n">
        <v>3872</v>
      </c>
      <c r="R126" s="0" t="n">
        <v>0.449</v>
      </c>
      <c r="S126" s="0" t="n">
        <v>0.018</v>
      </c>
      <c r="T126" s="0" t="s">
        <v>34</v>
      </c>
      <c r="U126" s="0" t="n">
        <v>0.4579</v>
      </c>
      <c r="V126" s="0" t="s">
        <v>335</v>
      </c>
      <c r="W126" s="4" t="s">
        <v>113</v>
      </c>
      <c r="X126" s="4" t="s">
        <v>267</v>
      </c>
      <c r="Y126" s="4" t="s">
        <v>395</v>
      </c>
      <c r="Z126" s="4" t="s">
        <v>396</v>
      </c>
      <c r="AA126" s="0" t="s">
        <v>397</v>
      </c>
      <c r="AB126" s="0" t="n">
        <f aca="false">FALSE()</f>
        <v>0</v>
      </c>
      <c r="AC126" s="0" t="s">
        <v>397</v>
      </c>
      <c r="AD126" s="4" t="s">
        <v>87</v>
      </c>
      <c r="AE126" s="4" t="s">
        <v>398</v>
      </c>
    </row>
    <row r="127" customFormat="false" ht="15" hidden="false" customHeight="false" outlineLevel="0" collapsed="false">
      <c r="A127" s="0" t="s">
        <v>31</v>
      </c>
      <c r="B127" s="0" t="n">
        <v>14800</v>
      </c>
      <c r="C127" s="0" t="n">
        <v>16800</v>
      </c>
      <c r="D127" s="0" t="s">
        <v>32</v>
      </c>
      <c r="E127" s="0" t="s">
        <v>33</v>
      </c>
      <c r="F127" s="0" t="n">
        <v>14.8</v>
      </c>
      <c r="G127" s="0" t="n">
        <v>0.689</v>
      </c>
      <c r="H127" s="0" t="n">
        <v>0.013</v>
      </c>
      <c r="I127" s="0" t="n">
        <v>0.9824</v>
      </c>
      <c r="J127" s="0" t="n">
        <v>0.136203842730371</v>
      </c>
      <c r="K127" s="0" t="n">
        <v>0.488481087860585</v>
      </c>
      <c r="L127" s="0" t="n">
        <v>9.00243309002433</v>
      </c>
      <c r="M127" s="0" t="n">
        <v>11.5625</v>
      </c>
      <c r="N127" s="0" t="n">
        <v>222446</v>
      </c>
      <c r="O127" s="0" t="n">
        <v>30298</v>
      </c>
      <c r="P127" s="0" t="n">
        <v>1644</v>
      </c>
      <c r="Q127" s="0" t="n">
        <v>1280</v>
      </c>
      <c r="R127" s="0" t="n">
        <v>0.933</v>
      </c>
      <c r="S127" s="0" t="n">
        <v>0.007</v>
      </c>
      <c r="T127" s="0" t="n">
        <v>0.1285</v>
      </c>
      <c r="U127" s="0" t="s">
        <v>34</v>
      </c>
      <c r="V127" s="0" t="s">
        <v>335</v>
      </c>
      <c r="W127" s="4" t="s">
        <v>46</v>
      </c>
      <c r="X127" s="0" t="s">
        <v>399</v>
      </c>
      <c r="Y127" s="0" t="s">
        <v>400</v>
      </c>
      <c r="AA127" s="0" t="s">
        <v>401</v>
      </c>
      <c r="AB127" s="0" t="n">
        <f aca="false">TRUE()</f>
        <v>1</v>
      </c>
      <c r="AC127" s="4" t="s">
        <v>402</v>
      </c>
      <c r="AD127" s="4" t="s">
        <v>376</v>
      </c>
      <c r="AE127" s="4" t="s">
        <v>403</v>
      </c>
    </row>
    <row r="128" customFormat="false" ht="15" hidden="false" customHeight="false" outlineLevel="0" collapsed="false">
      <c r="A128" s="0" t="s">
        <v>31</v>
      </c>
      <c r="B128" s="0" t="n">
        <v>5000</v>
      </c>
      <c r="C128" s="0" t="n">
        <v>9500</v>
      </c>
      <c r="D128" s="0" t="s">
        <v>32</v>
      </c>
      <c r="E128" s="0" t="s">
        <v>33</v>
      </c>
      <c r="F128" s="0" t="n">
        <v>11.3</v>
      </c>
      <c r="G128" s="0" t="n">
        <v>0.445</v>
      </c>
      <c r="H128" s="0" t="n">
        <v>0.047</v>
      </c>
      <c r="I128" s="0" t="n">
        <v>0.9397</v>
      </c>
      <c r="J128" s="0" t="n">
        <v>0.200319516324988</v>
      </c>
      <c r="K128" s="0" t="n">
        <v>0.453677172874881</v>
      </c>
      <c r="L128" s="0" t="n">
        <v>25.4010695187166</v>
      </c>
      <c r="N128" s="0" t="n">
        <v>104533</v>
      </c>
      <c r="O128" s="0" t="n">
        <v>20940</v>
      </c>
      <c r="P128" s="0" t="n">
        <v>374</v>
      </c>
      <c r="Q128" s="0" t="s">
        <v>34</v>
      </c>
      <c r="R128" s="0" t="n">
        <v>0.157</v>
      </c>
      <c r="S128" s="0" t="n">
        <v>0.004</v>
      </c>
      <c r="T128" s="0" t="s">
        <v>34</v>
      </c>
      <c r="U128" s="0" t="n">
        <v>0.1675</v>
      </c>
      <c r="AA128" s="0" t="s">
        <v>404</v>
      </c>
      <c r="AB128" s="0" t="n">
        <f aca="false">FALSE()</f>
        <v>0</v>
      </c>
      <c r="AC128" s="4" t="s">
        <v>405</v>
      </c>
      <c r="AD128" s="4" t="s">
        <v>279</v>
      </c>
      <c r="AE128" s="4" t="s">
        <v>406</v>
      </c>
    </row>
    <row r="129" customFormat="false" ht="15" hidden="false" customHeight="false" outlineLevel="0" collapsed="false">
      <c r="A129" s="0" t="s">
        <v>31</v>
      </c>
      <c r="B129" s="0" t="s">
        <v>43</v>
      </c>
      <c r="C129" s="0" t="n">
        <v>4000</v>
      </c>
      <c r="D129" s="0" t="s">
        <v>39</v>
      </c>
      <c r="E129" s="0" t="s">
        <v>44</v>
      </c>
      <c r="F129" s="0" t="n">
        <v>4</v>
      </c>
      <c r="G129" s="0" t="n">
        <v>0.551</v>
      </c>
      <c r="H129" s="0" t="n">
        <v>0.045</v>
      </c>
      <c r="I129" s="0" t="n">
        <v>0.8831</v>
      </c>
      <c r="J129" s="0" t="n">
        <v>0.239040366632719</v>
      </c>
      <c r="K129" s="0" t="n">
        <v>0.193657709997579</v>
      </c>
      <c r="L129" s="0" t="n">
        <v>2.00601805416249</v>
      </c>
      <c r="N129" s="0" t="n">
        <v>86408</v>
      </c>
      <c r="O129" s="0" t="n">
        <v>20655</v>
      </c>
      <c r="P129" s="0" t="n">
        <v>1994</v>
      </c>
      <c r="Q129" s="0" t="s">
        <v>34</v>
      </c>
      <c r="R129" s="0" t="n">
        <v>0.765</v>
      </c>
      <c r="S129" s="0" t="n">
        <v>0.006</v>
      </c>
      <c r="T129" s="0" t="s">
        <v>34</v>
      </c>
      <c r="U129" s="0" t="s">
        <v>34</v>
      </c>
      <c r="AA129" s="0" t="s">
        <v>281</v>
      </c>
      <c r="AB129" s="0" t="n">
        <f aca="false">FALSE()</f>
        <v>0</v>
      </c>
      <c r="AC129" s="4" t="s">
        <v>282</v>
      </c>
      <c r="AD129" s="4" t="s">
        <v>133</v>
      </c>
      <c r="AE129" s="4" t="s">
        <v>283</v>
      </c>
    </row>
    <row r="130" customFormat="false" ht="15" hidden="false" customHeight="false" outlineLevel="0" collapsed="false">
      <c r="A130" s="0" t="s">
        <v>31</v>
      </c>
      <c r="B130" s="0" t="n">
        <v>7500</v>
      </c>
      <c r="C130" s="0" t="n">
        <v>8500</v>
      </c>
      <c r="D130" s="0" t="s">
        <v>39</v>
      </c>
      <c r="E130" s="0" t="s">
        <v>44</v>
      </c>
      <c r="F130" s="0" t="n">
        <v>4.3</v>
      </c>
      <c r="G130" s="0" t="n">
        <v>0.404</v>
      </c>
      <c r="H130" s="0" t="n">
        <v>0.039</v>
      </c>
      <c r="I130" s="0" t="n">
        <v>0.9087</v>
      </c>
      <c r="J130" s="0" t="n">
        <v>0.18784363482569</v>
      </c>
      <c r="K130" s="0" t="n">
        <v>2.73399807011901</v>
      </c>
      <c r="L130" s="0" t="n">
        <v>5.11432009626956</v>
      </c>
      <c r="N130" s="0" t="n">
        <v>16551</v>
      </c>
      <c r="O130" s="0" t="n">
        <v>3109</v>
      </c>
      <c r="P130" s="0" t="n">
        <v>1662</v>
      </c>
      <c r="Q130" s="0" t="s">
        <v>34</v>
      </c>
      <c r="R130" s="0" t="n">
        <v>0.622</v>
      </c>
      <c r="S130" s="0" t="n">
        <v>0.01</v>
      </c>
      <c r="T130" s="0" t="s">
        <v>34</v>
      </c>
      <c r="U130" s="0" t="n">
        <v>0.0704</v>
      </c>
      <c r="AA130" s="0" t="s">
        <v>407</v>
      </c>
      <c r="AB130" s="0" t="n">
        <f aca="false">FALSE()</f>
        <v>0</v>
      </c>
      <c r="AC130" s="4" t="s">
        <v>408</v>
      </c>
      <c r="AD130" s="4" t="s">
        <v>54</v>
      </c>
      <c r="AE130" s="4" t="s">
        <v>409</v>
      </c>
    </row>
    <row r="131" customFormat="false" ht="15" hidden="false" customHeight="false" outlineLevel="0" collapsed="false">
      <c r="A131" s="0" t="s">
        <v>31</v>
      </c>
      <c r="B131" s="0" t="n">
        <v>5000</v>
      </c>
      <c r="C131" s="0" t="n">
        <v>6000</v>
      </c>
      <c r="D131" s="0" t="s">
        <v>39</v>
      </c>
      <c r="E131" s="0" t="s">
        <v>44</v>
      </c>
      <c r="F131" s="0" t="n">
        <v>1.3</v>
      </c>
      <c r="G131" s="0" t="n">
        <v>0.726</v>
      </c>
      <c r="H131" s="0" t="n">
        <v>0.027</v>
      </c>
      <c r="I131" s="0" t="n">
        <v>0.9151</v>
      </c>
      <c r="J131" s="0" t="n">
        <v>0.208938353186679</v>
      </c>
      <c r="K131" s="0" t="n">
        <v>1.24843945068664</v>
      </c>
      <c r="L131" s="0" t="n">
        <v>33.3333333333333</v>
      </c>
      <c r="N131" s="0" t="n">
        <v>23002</v>
      </c>
      <c r="O131" s="0" t="n">
        <v>4806</v>
      </c>
      <c r="P131" s="0" t="n">
        <v>180</v>
      </c>
      <c r="Q131" s="0" t="s">
        <v>34</v>
      </c>
      <c r="R131" s="0" t="n">
        <v>0.842</v>
      </c>
      <c r="S131" s="0" t="n">
        <v>0.006</v>
      </c>
      <c r="T131" s="0" t="s">
        <v>34</v>
      </c>
      <c r="U131" s="0" t="s">
        <v>34</v>
      </c>
      <c r="AA131" s="0" t="s">
        <v>410</v>
      </c>
      <c r="AB131" s="0" t="n">
        <f aca="false">FALSE()</f>
        <v>0</v>
      </c>
      <c r="AC131" s="4" t="s">
        <v>411</v>
      </c>
      <c r="AD131" s="4" t="s">
        <v>37</v>
      </c>
      <c r="AE131" s="4" t="s">
        <v>412</v>
      </c>
    </row>
    <row r="132" customFormat="false" ht="15" hidden="false" customHeight="false" outlineLevel="0" collapsed="false">
      <c r="A132" s="0" t="s">
        <v>31</v>
      </c>
      <c r="B132" s="0" t="n">
        <v>4500</v>
      </c>
      <c r="C132" s="0" t="n">
        <v>12000</v>
      </c>
      <c r="D132" s="0" t="s">
        <v>39</v>
      </c>
      <c r="E132" s="0" t="s">
        <v>33</v>
      </c>
      <c r="F132" s="0" t="n">
        <v>12.3</v>
      </c>
      <c r="G132" s="0" t="n">
        <v>0.537</v>
      </c>
      <c r="H132" s="0" t="n">
        <v>0.02</v>
      </c>
      <c r="I132" s="0" t="n">
        <v>0.9776</v>
      </c>
      <c r="J132" s="0" t="n">
        <v>0.311775960305279</v>
      </c>
      <c r="K132" s="0" t="n">
        <v>0.809225166902691</v>
      </c>
      <c r="L132" s="0" t="n">
        <v>10.6856634016029</v>
      </c>
      <c r="M132" s="0" t="n">
        <v>36.697247706422</v>
      </c>
      <c r="N132" s="0" t="n">
        <v>47563</v>
      </c>
      <c r="O132" s="0" t="n">
        <v>14829</v>
      </c>
      <c r="P132" s="0" t="n">
        <v>1123</v>
      </c>
      <c r="Q132" s="0" t="n">
        <v>327</v>
      </c>
      <c r="R132" s="0" t="n">
        <v>0.652</v>
      </c>
      <c r="S132" s="0" t="n">
        <v>0.004</v>
      </c>
      <c r="T132" s="0" t="s">
        <v>34</v>
      </c>
      <c r="U132" s="0" t="n">
        <v>0.3092</v>
      </c>
      <c r="AA132" s="0" t="s">
        <v>413</v>
      </c>
      <c r="AB132" s="0" t="n">
        <f aca="false">FALSE()</f>
        <v>0</v>
      </c>
      <c r="AC132" s="0" t="s">
        <v>414</v>
      </c>
      <c r="AD132" s="0" t="s">
        <v>70</v>
      </c>
      <c r="AE132" s="4" t="s">
        <v>415</v>
      </c>
    </row>
    <row r="133" customFormat="false" ht="15" hidden="false" customHeight="false" outlineLevel="0" collapsed="false">
      <c r="A133" s="0" t="s">
        <v>31</v>
      </c>
      <c r="B133" s="0" t="n">
        <v>10000</v>
      </c>
      <c r="C133" s="0" t="n">
        <v>12500</v>
      </c>
      <c r="D133" s="0" t="s">
        <v>39</v>
      </c>
      <c r="E133" s="0" t="s">
        <v>44</v>
      </c>
      <c r="F133" s="0" t="n">
        <v>4.6</v>
      </c>
      <c r="G133" s="0" t="n">
        <v>0.388</v>
      </c>
      <c r="H133" s="0" t="n">
        <v>0.026</v>
      </c>
      <c r="I133" s="0" t="n">
        <v>0.8364</v>
      </c>
      <c r="J133" s="0" t="n">
        <v>0.170856378935228</v>
      </c>
      <c r="K133" s="0" t="n">
        <v>1.91776618594661</v>
      </c>
      <c r="L133" s="0" t="n">
        <v>9.11078717201166</v>
      </c>
      <c r="N133" s="0" t="n">
        <v>38149</v>
      </c>
      <c r="O133" s="0" t="n">
        <v>6518</v>
      </c>
      <c r="P133" s="0" t="n">
        <v>1372</v>
      </c>
      <c r="Q133" s="0" t="s">
        <v>34</v>
      </c>
      <c r="R133" s="0" t="n">
        <v>0.386</v>
      </c>
      <c r="S133" s="0" t="n">
        <v>0.009</v>
      </c>
      <c r="T133" s="0" t="s">
        <v>34</v>
      </c>
      <c r="U133" s="0" t="s">
        <v>34</v>
      </c>
      <c r="AA133" s="0" t="s">
        <v>365</v>
      </c>
      <c r="AB133" s="0" t="n">
        <f aca="false">FALSE()</f>
        <v>0</v>
      </c>
      <c r="AC133" s="4" t="s">
        <v>366</v>
      </c>
      <c r="AD133" s="4" t="s">
        <v>87</v>
      </c>
      <c r="AE133" s="4" t="s">
        <v>416</v>
      </c>
    </row>
    <row r="134" customFormat="false" ht="15" hidden="false" customHeight="false" outlineLevel="0" collapsed="false">
      <c r="A134" s="0" t="s">
        <v>31</v>
      </c>
      <c r="B134" s="0" t="n">
        <v>8000</v>
      </c>
      <c r="C134" s="0" t="n">
        <v>9000</v>
      </c>
      <c r="D134" s="0" t="s">
        <v>32</v>
      </c>
      <c r="E134" s="0" t="s">
        <v>33</v>
      </c>
      <c r="F134" s="0" t="n">
        <v>10.8</v>
      </c>
      <c r="G134" s="0" t="n">
        <v>0.275</v>
      </c>
      <c r="H134" s="0" t="n">
        <v>0.075</v>
      </c>
      <c r="I134" s="0" t="n">
        <v>0.918</v>
      </c>
      <c r="J134" s="0" t="n">
        <v>0.146001661709634</v>
      </c>
      <c r="K134" s="0" t="n">
        <v>0.371134020618557</v>
      </c>
      <c r="L134" s="0" t="n">
        <v>4.93691716950082</v>
      </c>
      <c r="M134" s="0" t="n">
        <v>29.8013245033113</v>
      </c>
      <c r="N134" s="0" t="n">
        <v>166094</v>
      </c>
      <c r="O134" s="0" t="n">
        <v>24250</v>
      </c>
      <c r="P134" s="0" t="n">
        <v>1823</v>
      </c>
      <c r="Q134" s="0" t="n">
        <v>302</v>
      </c>
      <c r="R134" s="0" t="n">
        <v>0.869</v>
      </c>
      <c r="S134" s="0" t="n">
        <v>0.016</v>
      </c>
      <c r="T134" s="0" t="s">
        <v>34</v>
      </c>
      <c r="U134" s="0" t="n">
        <v>0.3386</v>
      </c>
      <c r="AA134" s="0" t="s">
        <v>417</v>
      </c>
      <c r="AB134" s="0" t="n">
        <f aca="false">FALSE()</f>
        <v>0</v>
      </c>
      <c r="AC134" s="4" t="s">
        <v>418</v>
      </c>
      <c r="AD134" s="4" t="s">
        <v>54</v>
      </c>
      <c r="AE134" s="4" t="s">
        <v>419</v>
      </c>
    </row>
    <row r="135" customFormat="false" ht="15" hidden="false" customHeight="false" outlineLevel="0" collapsed="false">
      <c r="A135" s="0" t="s">
        <v>31</v>
      </c>
      <c r="B135" s="0" t="n">
        <v>20000</v>
      </c>
      <c r="C135" s="0" t="n">
        <v>35000</v>
      </c>
      <c r="D135" s="0" t="s">
        <v>98</v>
      </c>
      <c r="E135" s="0" t="s">
        <v>59</v>
      </c>
      <c r="F135" s="0" t="n">
        <v>67.1</v>
      </c>
      <c r="G135" s="0" t="n">
        <v>0.256</v>
      </c>
      <c r="H135" s="0" t="n">
        <v>0.095</v>
      </c>
      <c r="I135" s="0" t="n">
        <v>0.8209</v>
      </c>
      <c r="J135" s="0" t="n">
        <v>0.244798483549217</v>
      </c>
      <c r="K135" s="0" t="n">
        <v>1.07546705998033</v>
      </c>
      <c r="L135" s="0" t="n">
        <v>1.14821862082541</v>
      </c>
      <c r="N135" s="0" t="n">
        <v>132942</v>
      </c>
      <c r="O135" s="0" t="n">
        <v>32544</v>
      </c>
      <c r="P135" s="0" t="n">
        <v>30482</v>
      </c>
      <c r="Q135" s="0" t="s">
        <v>34</v>
      </c>
      <c r="R135" s="0" t="n">
        <v>0.778</v>
      </c>
      <c r="S135" s="0" t="n">
        <v>0.007</v>
      </c>
      <c r="T135" s="0" t="s">
        <v>34</v>
      </c>
      <c r="U135" s="0" t="s">
        <v>34</v>
      </c>
      <c r="AA135" s="4" t="s">
        <v>218</v>
      </c>
      <c r="AB135" s="0" t="n">
        <f aca="false">FALSE()</f>
        <v>0</v>
      </c>
      <c r="AC135" s="4" t="s">
        <v>218</v>
      </c>
      <c r="AD135" s="4" t="s">
        <v>122</v>
      </c>
      <c r="AE135" s="4" t="s">
        <v>302</v>
      </c>
    </row>
    <row r="136" customFormat="false" ht="15" hidden="false" customHeight="false" outlineLevel="0" collapsed="false">
      <c r="AD136" s="4" t="s">
        <v>122</v>
      </c>
      <c r="AE136" s="4" t="s">
        <v>193</v>
      </c>
    </row>
    <row r="137" customFormat="false" ht="15" hidden="false" customHeight="false" outlineLevel="0" collapsed="false">
      <c r="A137" s="0" t="s">
        <v>31</v>
      </c>
      <c r="B137" s="0" t="n">
        <v>12800</v>
      </c>
      <c r="C137" s="0" t="n">
        <v>12800</v>
      </c>
      <c r="D137" s="0" t="s">
        <v>32</v>
      </c>
      <c r="E137" s="0" t="s">
        <v>33</v>
      </c>
      <c r="F137" s="0" t="n">
        <v>20.5</v>
      </c>
      <c r="G137" s="0" t="n">
        <v>0.409</v>
      </c>
      <c r="H137" s="0" t="n">
        <v>0.019</v>
      </c>
      <c r="I137" s="0" t="n">
        <v>0.9831</v>
      </c>
      <c r="J137" s="0" t="n">
        <v>0.104693173158815</v>
      </c>
      <c r="K137" s="0" t="n">
        <v>1.09607809556431</v>
      </c>
      <c r="L137" s="0" t="n">
        <v>19.3939393939394</v>
      </c>
      <c r="N137" s="0" t="n">
        <v>111545</v>
      </c>
      <c r="O137" s="0" t="n">
        <v>11678</v>
      </c>
      <c r="P137" s="0" t="n">
        <v>660</v>
      </c>
      <c r="Q137" s="0" t="s">
        <v>34</v>
      </c>
      <c r="R137" s="0" t="n">
        <v>0.711</v>
      </c>
      <c r="S137" s="0" t="n">
        <v>0.004</v>
      </c>
      <c r="T137" s="0" t="s">
        <v>34</v>
      </c>
      <c r="U137" s="0" t="s">
        <v>34</v>
      </c>
      <c r="AA137" s="0" t="s">
        <v>281</v>
      </c>
      <c r="AB137" s="0" t="n">
        <f aca="false">FALSE()</f>
        <v>0</v>
      </c>
      <c r="AC137" s="4" t="s">
        <v>282</v>
      </c>
      <c r="AD137" s="4" t="s">
        <v>133</v>
      </c>
      <c r="AE137" s="4" t="s">
        <v>148</v>
      </c>
    </row>
    <row r="138" customFormat="false" ht="15" hidden="false" customHeight="false" outlineLevel="0" collapsed="false">
      <c r="A138" s="0" t="s">
        <v>31</v>
      </c>
      <c r="B138" s="0" t="n">
        <v>17000</v>
      </c>
      <c r="C138" s="0" t="n">
        <v>18000</v>
      </c>
      <c r="D138" s="0" t="s">
        <v>32</v>
      </c>
      <c r="E138" s="0" t="s">
        <v>33</v>
      </c>
      <c r="F138" s="0" t="n">
        <v>20</v>
      </c>
      <c r="G138" s="0" t="n">
        <v>0.24</v>
      </c>
      <c r="H138" s="0" t="n">
        <v>0.023</v>
      </c>
      <c r="I138" s="0" t="n">
        <v>0.9628</v>
      </c>
      <c r="J138" s="0" t="n">
        <v>0.493476355846938</v>
      </c>
      <c r="K138" s="0" t="n">
        <v>0.591930020717551</v>
      </c>
      <c r="L138" s="0" t="n">
        <v>15.0375939849624</v>
      </c>
      <c r="M138" s="0" t="n">
        <v>49.7237569060774</v>
      </c>
      <c r="N138" s="0" t="n">
        <v>61622</v>
      </c>
      <c r="O138" s="0" t="n">
        <v>30409</v>
      </c>
      <c r="P138" s="0" t="n">
        <v>1197</v>
      </c>
      <c r="Q138" s="0" t="n">
        <v>362</v>
      </c>
      <c r="R138" s="0" t="n">
        <v>0.772</v>
      </c>
      <c r="S138" s="0" t="n">
        <v>0.119</v>
      </c>
      <c r="T138" s="0" t="s">
        <v>34</v>
      </c>
      <c r="U138" s="0" t="n">
        <v>0.6197</v>
      </c>
      <c r="V138" s="0" t="s">
        <v>335</v>
      </c>
      <c r="W138" s="4" t="s">
        <v>113</v>
      </c>
      <c r="X138" s="4" t="s">
        <v>420</v>
      </c>
      <c r="Y138" s="4" t="s">
        <v>421</v>
      </c>
      <c r="AA138" s="0" t="s">
        <v>422</v>
      </c>
      <c r="AB138" s="0" t="n">
        <f aca="false">TRUE()</f>
        <v>1</v>
      </c>
      <c r="AC138" s="4" t="s">
        <v>423</v>
      </c>
      <c r="AD138" s="4" t="s">
        <v>50</v>
      </c>
      <c r="AE138" s="4" t="s">
        <v>424</v>
      </c>
    </row>
    <row r="139" customFormat="false" ht="15" hidden="false" customHeight="false" outlineLevel="0" collapsed="false">
      <c r="A139" s="0" t="s">
        <v>31</v>
      </c>
      <c r="B139" s="0" t="s">
        <v>43</v>
      </c>
      <c r="C139" s="0" t="n">
        <v>20000</v>
      </c>
      <c r="D139" s="0" t="s">
        <v>32</v>
      </c>
      <c r="E139" s="0" t="s">
        <v>33</v>
      </c>
      <c r="F139" s="0" t="n">
        <v>19.5</v>
      </c>
      <c r="G139" s="0" t="n">
        <v>0.207</v>
      </c>
      <c r="H139" s="0" t="n">
        <v>0.038</v>
      </c>
      <c r="I139" s="0" t="n">
        <v>0.968</v>
      </c>
      <c r="J139" s="0" t="n">
        <v>0.136875468587327</v>
      </c>
      <c r="K139" s="0" t="n">
        <v>0.519197320941824</v>
      </c>
      <c r="L139" s="0" t="n">
        <v>9.92063492063492</v>
      </c>
      <c r="M139" s="0" t="n">
        <v>22.0507166482911</v>
      </c>
      <c r="N139" s="0" t="n">
        <v>281431</v>
      </c>
      <c r="O139" s="0" t="n">
        <v>38521</v>
      </c>
      <c r="P139" s="0" t="n">
        <v>2016</v>
      </c>
      <c r="Q139" s="0" t="n">
        <v>907</v>
      </c>
      <c r="R139" s="0" t="n">
        <v>0.763</v>
      </c>
      <c r="S139" s="0" t="n">
        <v>0.014</v>
      </c>
      <c r="T139" s="0" t="s">
        <v>34</v>
      </c>
      <c r="U139" s="0" t="n">
        <v>0.601</v>
      </c>
      <c r="V139" s="0" t="s">
        <v>335</v>
      </c>
      <c r="W139" s="4" t="s">
        <v>113</v>
      </c>
      <c r="X139" s="4" t="s">
        <v>267</v>
      </c>
      <c r="Y139" s="4" t="s">
        <v>395</v>
      </c>
      <c r="AA139" s="0" t="s">
        <v>425</v>
      </c>
      <c r="AB139" s="0" t="n">
        <f aca="false">TRUE()</f>
        <v>1</v>
      </c>
      <c r="AC139" s="4" t="s">
        <v>426</v>
      </c>
      <c r="AD139" s="4" t="s">
        <v>427</v>
      </c>
      <c r="AE139" s="4" t="s">
        <v>428</v>
      </c>
    </row>
    <row r="140" customFormat="false" ht="15" hidden="false" customHeight="false" outlineLevel="0" collapsed="false">
      <c r="A140" s="0" t="s">
        <v>31</v>
      </c>
      <c r="B140" s="0" t="n">
        <v>15000</v>
      </c>
      <c r="C140" s="0" t="n">
        <v>30000</v>
      </c>
      <c r="D140" s="0" t="s">
        <v>39</v>
      </c>
      <c r="E140" s="0" t="s">
        <v>33</v>
      </c>
      <c r="F140" s="0" t="n">
        <v>18.8</v>
      </c>
      <c r="G140" s="0" t="n">
        <v>0.378</v>
      </c>
      <c r="H140" s="0" t="n">
        <v>0.036</v>
      </c>
      <c r="I140" s="0" t="n">
        <v>0.8853</v>
      </c>
      <c r="J140" s="0" t="n">
        <v>0.297980386313765</v>
      </c>
      <c r="K140" s="0" t="n">
        <v>0.13637169469105</v>
      </c>
      <c r="L140" s="0" t="n">
        <v>3.2559149120903</v>
      </c>
      <c r="N140" s="0" t="n">
        <v>738260</v>
      </c>
      <c r="O140" s="0" t="n">
        <v>219987</v>
      </c>
      <c r="P140" s="0" t="n">
        <v>9214</v>
      </c>
      <c r="Q140" s="0" t="s">
        <v>34</v>
      </c>
      <c r="R140" s="0" t="n">
        <v>0.936</v>
      </c>
      <c r="S140" s="0" t="n">
        <v>0.002</v>
      </c>
      <c r="T140" s="0" t="s">
        <v>34</v>
      </c>
      <c r="U140" s="0" t="n">
        <v>0.382</v>
      </c>
      <c r="AA140" s="0" t="s">
        <v>328</v>
      </c>
      <c r="AB140" s="0" t="n">
        <f aca="false">FALSE()</f>
        <v>0</v>
      </c>
      <c r="AC140" s="4" t="s">
        <v>329</v>
      </c>
      <c r="AD140" s="4" t="s">
        <v>54</v>
      </c>
      <c r="AE140" s="4" t="s">
        <v>429</v>
      </c>
    </row>
    <row r="141" customFormat="false" ht="15" hidden="false" customHeight="false" outlineLevel="0" collapsed="false">
      <c r="A141" s="0" t="s">
        <v>31</v>
      </c>
      <c r="B141" s="0" t="n">
        <v>7500</v>
      </c>
      <c r="C141" s="0" t="n">
        <v>7500</v>
      </c>
      <c r="D141" s="0" t="s">
        <v>39</v>
      </c>
      <c r="E141" s="0" t="s">
        <v>33</v>
      </c>
      <c r="F141" s="0" t="n">
        <v>18.3</v>
      </c>
      <c r="G141" s="0" t="n">
        <v>0.224</v>
      </c>
      <c r="H141" s="0" t="n">
        <v>0.077</v>
      </c>
      <c r="I141" s="0" t="n">
        <v>0.9058</v>
      </c>
      <c r="J141" s="0" t="n">
        <v>0.221799406143276</v>
      </c>
      <c r="K141" s="0" t="n">
        <v>0.171338496333356</v>
      </c>
      <c r="L141" s="0" t="n">
        <v>3.37685727149932</v>
      </c>
      <c r="N141" s="0" t="n">
        <v>197354</v>
      </c>
      <c r="O141" s="0" t="n">
        <v>43773</v>
      </c>
      <c r="P141" s="0" t="n">
        <v>2221</v>
      </c>
      <c r="Q141" s="0" t="s">
        <v>34</v>
      </c>
      <c r="R141" s="0" t="n">
        <v>0.908</v>
      </c>
      <c r="S141" s="0" t="n">
        <v>0.032</v>
      </c>
      <c r="T141" s="0" t="n">
        <v>0.1486</v>
      </c>
      <c r="U141" s="0" t="n">
        <v>0.7241</v>
      </c>
      <c r="AA141" s="0" t="s">
        <v>430</v>
      </c>
      <c r="AB141" s="0" t="n">
        <f aca="false">FALSE()</f>
        <v>0</v>
      </c>
      <c r="AC141" s="4" t="s">
        <v>431</v>
      </c>
      <c r="AD141" s="4" t="s">
        <v>66</v>
      </c>
      <c r="AE141" s="4" t="s">
        <v>432</v>
      </c>
    </row>
    <row r="142" customFormat="false" ht="15" hidden="false" customHeight="false" outlineLevel="0" collapsed="false">
      <c r="A142" s="0" t="s">
        <v>31</v>
      </c>
      <c r="B142" s="0" t="n">
        <v>12000</v>
      </c>
      <c r="C142" s="0" t="n">
        <v>16000</v>
      </c>
      <c r="D142" s="0" t="s">
        <v>39</v>
      </c>
      <c r="E142" s="0" t="s">
        <v>33</v>
      </c>
      <c r="F142" s="0" t="n">
        <v>16.5</v>
      </c>
      <c r="G142" s="0" t="n">
        <v>0.61</v>
      </c>
      <c r="H142" s="0" t="n">
        <v>0.027</v>
      </c>
      <c r="I142" s="0" t="n">
        <v>0.9363</v>
      </c>
      <c r="J142" s="0" t="n">
        <v>0.402756188861965</v>
      </c>
      <c r="K142" s="0" t="n">
        <v>0.169179689978218</v>
      </c>
      <c r="L142" s="0" t="n">
        <v>1.69365936276066</v>
      </c>
      <c r="N142" s="0" t="n">
        <v>234817</v>
      </c>
      <c r="O142" s="0" t="n">
        <v>94574</v>
      </c>
      <c r="P142" s="0" t="n">
        <v>9447</v>
      </c>
      <c r="Q142" s="0" t="s">
        <v>34</v>
      </c>
      <c r="R142" s="0" t="n">
        <v>0.586</v>
      </c>
      <c r="S142" s="0" t="n">
        <v>0.089</v>
      </c>
      <c r="T142" s="0" t="s">
        <v>34</v>
      </c>
      <c r="U142" s="0" t="s">
        <v>34</v>
      </c>
      <c r="AA142" s="0" t="s">
        <v>135</v>
      </c>
      <c r="AB142" s="0" t="n">
        <f aca="false">FALSE()</f>
        <v>0</v>
      </c>
      <c r="AC142" s="0" t="s">
        <v>70</v>
      </c>
      <c r="AD142" s="0" t="s">
        <v>70</v>
      </c>
      <c r="AE142" s="4" t="s">
        <v>71</v>
      </c>
    </row>
    <row r="143" customFormat="false" ht="15" hidden="false" customHeight="false" outlineLevel="0" collapsed="false">
      <c r="A143" s="0" t="s">
        <v>31</v>
      </c>
      <c r="B143" s="0" t="n">
        <v>30000</v>
      </c>
      <c r="C143" s="0" t="n">
        <v>40000</v>
      </c>
      <c r="D143" s="0" t="s">
        <v>39</v>
      </c>
      <c r="E143" s="0" t="s">
        <v>33</v>
      </c>
      <c r="F143" s="0" t="n">
        <v>46.8</v>
      </c>
      <c r="G143" s="0" t="n">
        <v>0.361</v>
      </c>
      <c r="H143" s="0" t="n">
        <v>0.043</v>
      </c>
      <c r="I143" s="0" t="n">
        <v>0.8589</v>
      </c>
      <c r="J143" s="0" t="n">
        <v>0.0690195972039472</v>
      </c>
      <c r="K143" s="0" t="n">
        <v>0.604732028120039</v>
      </c>
      <c r="L143" s="0" t="n">
        <v>8.78348704435661</v>
      </c>
      <c r="N143" s="0" t="n">
        <v>958351</v>
      </c>
      <c r="O143" s="0" t="n">
        <v>66145</v>
      </c>
      <c r="P143" s="0" t="n">
        <v>4554</v>
      </c>
      <c r="Q143" s="0" t="s">
        <v>34</v>
      </c>
      <c r="R143" s="0" t="n">
        <v>0.924</v>
      </c>
      <c r="S143" s="0" t="n">
        <v>0.003</v>
      </c>
      <c r="T143" s="0" t="s">
        <v>34</v>
      </c>
      <c r="U143" s="0" t="n">
        <v>0.6897</v>
      </c>
      <c r="V143" s="0" t="s">
        <v>335</v>
      </c>
      <c r="W143" s="4" t="s">
        <v>113</v>
      </c>
      <c r="X143" s="4" t="s">
        <v>267</v>
      </c>
      <c r="Y143" s="4" t="s">
        <v>395</v>
      </c>
      <c r="AA143" s="0" t="s">
        <v>433</v>
      </c>
      <c r="AB143" s="0" t="n">
        <f aca="false">TRUE()</f>
        <v>1</v>
      </c>
      <c r="AC143" s="0" t="s">
        <v>434</v>
      </c>
      <c r="AD143" s="4" t="s">
        <v>292</v>
      </c>
      <c r="AE143" s="0" t="s">
        <v>435</v>
      </c>
    </row>
    <row r="144" customFormat="false" ht="15" hidden="false" customHeight="false" outlineLevel="0" collapsed="false">
      <c r="A144" s="0" t="s">
        <v>31</v>
      </c>
      <c r="B144" s="0" t="n">
        <v>8000</v>
      </c>
      <c r="C144" s="0" t="n">
        <v>12000</v>
      </c>
      <c r="D144" s="0" t="s">
        <v>32</v>
      </c>
      <c r="E144" s="0" t="s">
        <v>33</v>
      </c>
      <c r="F144" s="0" t="n">
        <v>14.6</v>
      </c>
      <c r="G144" s="0" t="n">
        <v>0.437</v>
      </c>
      <c r="H144" s="0" t="n">
        <v>0.056</v>
      </c>
      <c r="I144" s="0" t="n">
        <v>0.9458</v>
      </c>
      <c r="J144" s="0" t="n">
        <v>0.106330286671299</v>
      </c>
      <c r="K144" s="0" t="n">
        <v>1.00536193029491</v>
      </c>
      <c r="L144" s="0" t="n">
        <v>25.8620689655172</v>
      </c>
      <c r="M144" s="0" t="n">
        <v>480</v>
      </c>
      <c r="N144" s="0" t="n">
        <v>112254</v>
      </c>
      <c r="O144" s="0" t="n">
        <v>11936</v>
      </c>
      <c r="P144" s="0" t="n">
        <v>464</v>
      </c>
      <c r="Q144" s="0" t="n">
        <v>25</v>
      </c>
      <c r="R144" s="0" t="n">
        <v>0.851</v>
      </c>
      <c r="S144" s="0" t="n">
        <v>0.044</v>
      </c>
      <c r="T144" s="0" t="s">
        <v>34</v>
      </c>
      <c r="U144" s="0" t="n">
        <v>0.419</v>
      </c>
      <c r="AA144" s="0" t="s">
        <v>436</v>
      </c>
      <c r="AB144" s="0" t="n">
        <f aca="false">FALSE()</f>
        <v>0</v>
      </c>
      <c r="AC144" s="4" t="s">
        <v>437</v>
      </c>
      <c r="AD144" s="4" t="s">
        <v>54</v>
      </c>
      <c r="AE144" s="4" t="s">
        <v>438</v>
      </c>
    </row>
    <row r="145" customFormat="false" ht="15" hidden="false" customHeight="false" outlineLevel="0" collapsed="false">
      <c r="A145" s="0" t="s">
        <v>31</v>
      </c>
      <c r="B145" s="0" t="n">
        <v>5000</v>
      </c>
      <c r="C145" s="0" t="n">
        <v>10000</v>
      </c>
      <c r="D145" s="0" t="s">
        <v>98</v>
      </c>
      <c r="E145" s="0" t="s">
        <v>33</v>
      </c>
      <c r="F145" s="0" t="n">
        <v>14.4</v>
      </c>
      <c r="G145" s="0" t="n">
        <v>0.383</v>
      </c>
      <c r="H145" s="0" t="n">
        <v>0.053</v>
      </c>
      <c r="I145" s="0" t="n">
        <v>0.915</v>
      </c>
      <c r="J145" s="0" t="n">
        <v>0.235071033467309</v>
      </c>
      <c r="K145" s="0" t="n">
        <v>0.169287806199319</v>
      </c>
      <c r="L145" s="0" t="n">
        <v>1.57753588894147</v>
      </c>
      <c r="M145" s="0" t="n">
        <v>232.558139534884</v>
      </c>
      <c r="N145" s="0" t="n">
        <v>251290</v>
      </c>
      <c r="O145" s="0" t="n">
        <v>59071</v>
      </c>
      <c r="P145" s="0" t="n">
        <v>6339</v>
      </c>
      <c r="Q145" s="0" t="n">
        <v>43</v>
      </c>
      <c r="R145" s="0" t="n">
        <v>0.885</v>
      </c>
      <c r="S145" s="0" t="n">
        <v>0.002</v>
      </c>
      <c r="T145" s="0" t="s">
        <v>34</v>
      </c>
      <c r="U145" s="0" t="n">
        <v>0.6963</v>
      </c>
      <c r="AA145" s="0" t="s">
        <v>439</v>
      </c>
      <c r="AB145" s="0" t="n">
        <f aca="false">FALSE()</f>
        <v>0</v>
      </c>
      <c r="AC145" s="4" t="s">
        <v>440</v>
      </c>
      <c r="AD145" s="4" t="s">
        <v>54</v>
      </c>
      <c r="AE145" s="4" t="s">
        <v>441</v>
      </c>
    </row>
    <row r="146" customFormat="false" ht="15" hidden="false" customHeight="false" outlineLevel="0" collapsed="false">
      <c r="A146" s="0" t="s">
        <v>31</v>
      </c>
      <c r="B146" s="0" t="n">
        <v>5500</v>
      </c>
      <c r="C146" s="0" t="s">
        <v>43</v>
      </c>
      <c r="D146" s="0" t="s">
        <v>32</v>
      </c>
      <c r="E146" s="0" t="s">
        <v>44</v>
      </c>
      <c r="F146" s="0" t="n">
        <v>3.6</v>
      </c>
      <c r="G146" s="0" t="n">
        <v>0.316</v>
      </c>
      <c r="H146" s="0" t="n">
        <v>0.048</v>
      </c>
      <c r="I146" s="0" t="n">
        <v>0.7569</v>
      </c>
      <c r="J146" s="0" t="n">
        <v>0.0890520666486385</v>
      </c>
      <c r="N146" s="0" t="n">
        <v>48073</v>
      </c>
      <c r="O146" s="0" t="n">
        <v>4281</v>
      </c>
      <c r="P146" s="0" t="n">
        <v>13</v>
      </c>
      <c r="Q146" s="0" t="s">
        <v>34</v>
      </c>
      <c r="R146" s="0" t="n">
        <v>0.993</v>
      </c>
      <c r="S146" s="0" t="n">
        <v>0</v>
      </c>
      <c r="T146" s="0" t="n">
        <v>0.2831</v>
      </c>
      <c r="U146" s="0" t="s">
        <v>34</v>
      </c>
      <c r="AA146" s="0" t="s">
        <v>442</v>
      </c>
      <c r="AB146" s="0" t="n">
        <f aca="false">FALSE()</f>
        <v>0</v>
      </c>
      <c r="AC146" s="4" t="s">
        <v>66</v>
      </c>
      <c r="AD146" s="4" t="s">
        <v>66</v>
      </c>
      <c r="AE146" s="4" t="s">
        <v>443</v>
      </c>
    </row>
    <row r="147" customFormat="false" ht="15" hidden="false" customHeight="false" outlineLevel="0" collapsed="false">
      <c r="AD147" s="4" t="s">
        <v>122</v>
      </c>
      <c r="AE147" s="4" t="s">
        <v>193</v>
      </c>
    </row>
    <row r="148" customFormat="false" ht="15" hidden="false" customHeight="false" outlineLevel="0" collapsed="false">
      <c r="A148" s="0" t="s">
        <v>31</v>
      </c>
      <c r="B148" s="0" t="s">
        <v>43</v>
      </c>
      <c r="C148" s="0" t="n">
        <v>18800</v>
      </c>
      <c r="D148" s="0" t="s">
        <v>98</v>
      </c>
      <c r="E148" s="0" t="s">
        <v>33</v>
      </c>
      <c r="F148" s="0" t="n">
        <v>19.8</v>
      </c>
      <c r="G148" s="0" t="n">
        <v>0.307</v>
      </c>
      <c r="H148" s="0" t="n">
        <v>0.075</v>
      </c>
      <c r="I148" s="0" t="n">
        <v>0.917</v>
      </c>
      <c r="J148" s="0" t="n">
        <v>0.277063996091842</v>
      </c>
      <c r="K148" s="0" t="n">
        <v>0.41435246407476</v>
      </c>
      <c r="L148" s="0" t="n">
        <v>0.583542850048111</v>
      </c>
      <c r="N148" s="0" t="n">
        <v>163760</v>
      </c>
      <c r="O148" s="0" t="n">
        <v>45372</v>
      </c>
      <c r="P148" s="0" t="n">
        <v>32217</v>
      </c>
      <c r="Q148" s="0" t="s">
        <v>43</v>
      </c>
      <c r="R148" s="0" t="n">
        <v>0.977</v>
      </c>
      <c r="S148" s="0" t="n">
        <v>0</v>
      </c>
      <c r="T148" s="0" t="s">
        <v>34</v>
      </c>
      <c r="U148" s="0" t="s">
        <v>34</v>
      </c>
      <c r="V148" s="0" t="s">
        <v>313</v>
      </c>
      <c r="W148" s="4" t="s">
        <v>113</v>
      </c>
      <c r="X148" s="4" t="s">
        <v>114</v>
      </c>
      <c r="AA148" s="0" t="s">
        <v>444</v>
      </c>
      <c r="AB148" s="0" t="n">
        <f aca="false">TRUE()</f>
        <v>1</v>
      </c>
      <c r="AC148" s="4" t="s">
        <v>445</v>
      </c>
      <c r="AD148" s="4" t="s">
        <v>446</v>
      </c>
      <c r="AE148" s="4" t="s">
        <v>447</v>
      </c>
    </row>
    <row r="149" customFormat="false" ht="15" hidden="false" customHeight="false" outlineLevel="0" collapsed="false">
      <c r="A149" s="0" t="s">
        <v>31</v>
      </c>
      <c r="B149" s="0" t="n">
        <v>10000</v>
      </c>
      <c r="C149" s="0" t="n">
        <v>15000</v>
      </c>
      <c r="D149" s="0" t="s">
        <v>39</v>
      </c>
      <c r="E149" s="0" t="s">
        <v>33</v>
      </c>
      <c r="F149" s="0" t="n">
        <v>12</v>
      </c>
      <c r="G149" s="0" t="n">
        <v>0.287</v>
      </c>
      <c r="H149" s="0" t="n">
        <v>0.044</v>
      </c>
      <c r="I149" s="0" t="n">
        <v>0.8408</v>
      </c>
      <c r="J149" s="0" t="n">
        <v>0.235494129986128</v>
      </c>
      <c r="K149" s="0" t="n">
        <v>1.0775087996552</v>
      </c>
      <c r="L149" s="0" t="n">
        <v>9.07990314769976</v>
      </c>
      <c r="M149" s="0" t="n">
        <v>3000</v>
      </c>
      <c r="N149" s="0" t="n">
        <v>59114</v>
      </c>
      <c r="O149" s="0" t="n">
        <v>13921</v>
      </c>
      <c r="P149" s="0" t="n">
        <v>1652</v>
      </c>
      <c r="Q149" s="0" t="n">
        <v>5</v>
      </c>
      <c r="R149" s="0" t="n">
        <v>0.855</v>
      </c>
      <c r="S149" s="0" t="n">
        <v>0.005</v>
      </c>
      <c r="T149" s="0" t="s">
        <v>34</v>
      </c>
      <c r="U149" s="0" t="s">
        <v>34</v>
      </c>
      <c r="AA149" s="0" t="s">
        <v>448</v>
      </c>
      <c r="AB149" s="0" t="n">
        <f aca="false">FALSE()</f>
        <v>0</v>
      </c>
      <c r="AC149" s="4" t="s">
        <v>449</v>
      </c>
      <c r="AD149" s="4" t="s">
        <v>74</v>
      </c>
      <c r="AE149" s="4" t="s">
        <v>450</v>
      </c>
    </row>
    <row r="150" customFormat="false" ht="15" hidden="false" customHeight="false" outlineLevel="0" collapsed="false">
      <c r="A150" s="0" t="s">
        <v>31</v>
      </c>
      <c r="B150" s="0" t="n">
        <v>7000</v>
      </c>
      <c r="C150" s="0" t="n">
        <v>13000</v>
      </c>
      <c r="D150" s="0" t="s">
        <v>39</v>
      </c>
      <c r="E150" s="0" t="s">
        <v>44</v>
      </c>
      <c r="F150" s="0" t="n">
        <v>10</v>
      </c>
      <c r="G150" s="0" t="n">
        <v>0.67</v>
      </c>
      <c r="H150" s="0" t="n">
        <v>0.022</v>
      </c>
      <c r="I150" s="0" t="n">
        <v>0.9706</v>
      </c>
      <c r="J150" s="0" t="n">
        <v>0.497961049005133</v>
      </c>
      <c r="K150" s="0" t="n">
        <v>0.91775503000353</v>
      </c>
      <c r="L150" s="0" t="n">
        <v>7.20620842572062</v>
      </c>
      <c r="M150" s="0" t="n">
        <v>80.7453416149068</v>
      </c>
      <c r="N150" s="0" t="n">
        <v>28446</v>
      </c>
      <c r="O150" s="0" t="n">
        <v>14165</v>
      </c>
      <c r="P150" s="0" t="n">
        <v>1804</v>
      </c>
      <c r="Q150" s="0" t="n">
        <v>161</v>
      </c>
      <c r="R150" s="0" t="n">
        <v>0.821</v>
      </c>
      <c r="S150" s="0" t="n">
        <v>0.015</v>
      </c>
      <c r="T150" s="0" t="s">
        <v>34</v>
      </c>
      <c r="U150" s="0" t="n">
        <v>0.1296</v>
      </c>
      <c r="AA150" s="0" t="s">
        <v>365</v>
      </c>
      <c r="AB150" s="0" t="n">
        <f aca="false">FALSE()</f>
        <v>0</v>
      </c>
      <c r="AC150" s="4" t="s">
        <v>366</v>
      </c>
      <c r="AD150" s="4" t="s">
        <v>87</v>
      </c>
      <c r="AE150" s="4" t="s">
        <v>451</v>
      </c>
    </row>
    <row r="151" customFormat="false" ht="15" hidden="false" customHeight="false" outlineLevel="0" collapsed="false">
      <c r="A151" s="0" t="s">
        <v>31</v>
      </c>
      <c r="B151" s="0" t="s">
        <v>43</v>
      </c>
      <c r="C151" s="0" t="n">
        <v>3500</v>
      </c>
      <c r="D151" s="0" t="s">
        <v>98</v>
      </c>
      <c r="E151" s="0" t="s">
        <v>33</v>
      </c>
      <c r="F151" s="0" t="n">
        <v>10.3</v>
      </c>
      <c r="G151" s="0" t="n">
        <v>0.281</v>
      </c>
      <c r="H151" s="0" t="n">
        <v>0.093</v>
      </c>
      <c r="I151" s="0" t="n">
        <v>0.858</v>
      </c>
      <c r="J151" s="0" t="n">
        <v>0.537196876284422</v>
      </c>
      <c r="K151" s="0" t="n">
        <v>0.892629431267534</v>
      </c>
      <c r="L151" s="0" t="n">
        <v>11.9047619047619</v>
      </c>
      <c r="M151" s="0" t="n">
        <v>67.3076923076923</v>
      </c>
      <c r="N151" s="0" t="n">
        <v>7299</v>
      </c>
      <c r="O151" s="0" t="n">
        <v>3921</v>
      </c>
      <c r="P151" s="0" t="n">
        <v>294</v>
      </c>
      <c r="Q151" s="0" t="n">
        <v>52</v>
      </c>
      <c r="R151" s="0" t="n">
        <v>0.837</v>
      </c>
      <c r="S151" s="0" t="n">
        <v>0.004</v>
      </c>
      <c r="T151" s="0" t="s">
        <v>34</v>
      </c>
      <c r="U151" s="0" t="n">
        <v>0.463</v>
      </c>
      <c r="AA151" s="0" t="s">
        <v>452</v>
      </c>
      <c r="AB151" s="0" t="n">
        <f aca="false">FALSE()</f>
        <v>0</v>
      </c>
      <c r="AC151" s="4" t="s">
        <v>453</v>
      </c>
      <c r="AD151" s="4" t="s">
        <v>133</v>
      </c>
      <c r="AE151" s="4" t="s">
        <v>454</v>
      </c>
    </row>
    <row r="152" customFormat="false" ht="15" hidden="false" customHeight="false" outlineLevel="0" collapsed="false">
      <c r="A152" s="0" t="s">
        <v>31</v>
      </c>
      <c r="B152" s="0" t="n">
        <v>8000</v>
      </c>
      <c r="C152" s="0" t="n">
        <v>10000</v>
      </c>
      <c r="D152" s="0" t="s">
        <v>39</v>
      </c>
      <c r="E152" s="0" t="s">
        <v>44</v>
      </c>
      <c r="F152" s="0" t="n">
        <v>7.6</v>
      </c>
      <c r="G152" s="0" t="n">
        <v>0.581</v>
      </c>
      <c r="H152" s="0" t="n">
        <v>0.025</v>
      </c>
      <c r="I152" s="0" t="n">
        <v>0.9652</v>
      </c>
      <c r="J152" s="0" t="n">
        <v>0.2056350437664</v>
      </c>
      <c r="K152" s="0" t="n">
        <v>0.931445603576751</v>
      </c>
      <c r="L152" s="0" t="n">
        <v>12.5156445556946</v>
      </c>
      <c r="N152" s="0" t="n">
        <v>52209</v>
      </c>
      <c r="O152" s="0" t="n">
        <v>10736</v>
      </c>
      <c r="P152" s="0" t="n">
        <v>799</v>
      </c>
      <c r="Q152" s="0" t="s">
        <v>43</v>
      </c>
      <c r="R152" s="0" t="n">
        <v>0.698</v>
      </c>
      <c r="S152" s="0" t="n">
        <v>0.012</v>
      </c>
      <c r="T152" s="0" t="s">
        <v>34</v>
      </c>
      <c r="U152" s="0" t="s">
        <v>34</v>
      </c>
      <c r="AA152" s="0" t="s">
        <v>284</v>
      </c>
      <c r="AB152" s="0" t="n">
        <f aca="false">FALSE()</f>
        <v>0</v>
      </c>
      <c r="AC152" s="0" t="s">
        <v>285</v>
      </c>
      <c r="AD152" s="0" t="s">
        <v>70</v>
      </c>
      <c r="AE152" s="4" t="s">
        <v>455</v>
      </c>
    </row>
    <row r="153" customFormat="false" ht="15" hidden="false" customHeight="false" outlineLevel="0" collapsed="false">
      <c r="A153" s="0" t="s">
        <v>31</v>
      </c>
      <c r="B153" s="0" t="n">
        <v>3000</v>
      </c>
      <c r="C153" s="0" t="n">
        <v>4000</v>
      </c>
      <c r="D153" s="0" t="s">
        <v>39</v>
      </c>
      <c r="E153" s="0" t="s">
        <v>44</v>
      </c>
      <c r="F153" s="0" t="n">
        <v>6.5</v>
      </c>
      <c r="G153" s="0" t="n">
        <v>0.552</v>
      </c>
      <c r="H153" s="0" t="n">
        <v>0.035</v>
      </c>
      <c r="I153" s="0" t="n">
        <v>0.8638</v>
      </c>
      <c r="J153" s="0" t="n">
        <v>0.159926925345868</v>
      </c>
      <c r="K153" s="0" t="n">
        <v>0.475963826749167</v>
      </c>
      <c r="L153" s="0" t="n">
        <v>10.1522842639594</v>
      </c>
      <c r="M153" s="0" t="n">
        <v>71.4285714285714</v>
      </c>
      <c r="N153" s="0" t="n">
        <v>52549</v>
      </c>
      <c r="O153" s="0" t="n">
        <v>8404</v>
      </c>
      <c r="P153" s="0" t="n">
        <v>394</v>
      </c>
      <c r="Q153" s="0" t="n">
        <v>56</v>
      </c>
      <c r="R153" s="0" t="n">
        <v>0.314</v>
      </c>
      <c r="S153" s="0" t="n">
        <v>0.13</v>
      </c>
      <c r="T153" s="0" t="s">
        <v>34</v>
      </c>
      <c r="U153" s="0" t="s">
        <v>34</v>
      </c>
      <c r="AA153" s="0" t="s">
        <v>456</v>
      </c>
      <c r="AB153" s="0" t="n">
        <f aca="false">FALSE()</f>
        <v>0</v>
      </c>
      <c r="AC153" s="4" t="s">
        <v>457</v>
      </c>
      <c r="AD153" s="4" t="s">
        <v>37</v>
      </c>
      <c r="AE153" s="4" t="s">
        <v>257</v>
      </c>
    </row>
    <row r="154" customFormat="false" ht="15" hidden="false" customHeight="false" outlineLevel="0" collapsed="false">
      <c r="A154" s="0" t="s">
        <v>31</v>
      </c>
      <c r="B154" s="0" t="n">
        <v>5000</v>
      </c>
      <c r="C154" s="0" t="n">
        <v>80000</v>
      </c>
      <c r="D154" s="0" t="s">
        <v>39</v>
      </c>
      <c r="E154" s="0" t="s">
        <v>33</v>
      </c>
      <c r="F154" s="0" t="n">
        <v>10.1</v>
      </c>
      <c r="G154" s="0" t="n">
        <v>0.566</v>
      </c>
      <c r="H154" s="0" t="n">
        <v>0.026</v>
      </c>
      <c r="I154" s="0" t="n">
        <v>0.7425</v>
      </c>
      <c r="J154" s="0" t="n">
        <v>0.187346375298832</v>
      </c>
      <c r="K154" s="0" t="n">
        <v>14.3781452192667</v>
      </c>
      <c r="L154" s="0" t="n">
        <v>61.3967766692249</v>
      </c>
      <c r="N154" s="0" t="n">
        <v>29699</v>
      </c>
      <c r="O154" s="0" t="n">
        <v>5564</v>
      </c>
      <c r="P154" s="0" t="n">
        <v>1303</v>
      </c>
      <c r="Q154" s="0" t="s">
        <v>43</v>
      </c>
      <c r="R154" s="0" t="n">
        <v>0.608</v>
      </c>
      <c r="S154" s="0" t="n">
        <v>0.013</v>
      </c>
      <c r="T154" s="0" t="s">
        <v>34</v>
      </c>
      <c r="U154" s="0" t="n">
        <v>0.1452</v>
      </c>
      <c r="AA154" s="0" t="s">
        <v>458</v>
      </c>
      <c r="AB154" s="0" t="n">
        <f aca="false">FALSE()</f>
        <v>0</v>
      </c>
      <c r="AC154" s="4" t="s">
        <v>459</v>
      </c>
      <c r="AD154" s="4" t="s">
        <v>133</v>
      </c>
      <c r="AE154" s="4" t="s">
        <v>460</v>
      </c>
    </row>
    <row r="155" customFormat="false" ht="15" hidden="false" customHeight="false" outlineLevel="0" collapsed="false">
      <c r="A155" s="0" t="s">
        <v>31</v>
      </c>
      <c r="B155" s="0" t="n">
        <v>5500</v>
      </c>
      <c r="C155" s="0" t="n">
        <v>10000</v>
      </c>
      <c r="D155" s="0" t="s">
        <v>39</v>
      </c>
      <c r="E155" s="0" t="s">
        <v>33</v>
      </c>
      <c r="F155" s="0" t="n">
        <v>11.6</v>
      </c>
      <c r="G155" s="0" t="n">
        <v>0.527</v>
      </c>
      <c r="H155" s="0" t="n">
        <v>0.026</v>
      </c>
      <c r="I155" s="0" t="n">
        <v>0.9577</v>
      </c>
      <c r="J155" s="0" t="n">
        <v>0.114701704545455</v>
      </c>
      <c r="K155" s="0" t="n">
        <v>3.43997248022016</v>
      </c>
      <c r="L155" s="0" t="n">
        <v>38.1679389312977</v>
      </c>
      <c r="M155" s="0" t="n">
        <v>27.9329608938547</v>
      </c>
      <c r="N155" s="0" t="n">
        <v>25344</v>
      </c>
      <c r="O155" s="0" t="n">
        <v>2907</v>
      </c>
      <c r="P155" s="0" t="n">
        <v>262</v>
      </c>
      <c r="Q155" s="0" t="n">
        <v>358</v>
      </c>
      <c r="R155" s="0" t="n">
        <v>0.296</v>
      </c>
      <c r="S155" s="0" t="n">
        <v>0.046</v>
      </c>
      <c r="T155" s="0" t="s">
        <v>34</v>
      </c>
      <c r="U155" s="0" t="n">
        <v>0.4229</v>
      </c>
      <c r="AA155" s="0" t="s">
        <v>461</v>
      </c>
      <c r="AB155" s="0" t="n">
        <f aca="false">FALSE()</f>
        <v>0</v>
      </c>
      <c r="AC155" s="4" t="s">
        <v>462</v>
      </c>
      <c r="AD155" s="4" t="s">
        <v>37</v>
      </c>
      <c r="AE155" s="4" t="s">
        <v>463</v>
      </c>
    </row>
    <row r="156" customFormat="false" ht="15" hidden="false" customHeight="false" outlineLevel="0" collapsed="false">
      <c r="A156" s="0" t="s">
        <v>31</v>
      </c>
      <c r="B156" s="0" t="n">
        <v>6500</v>
      </c>
      <c r="C156" s="0" t="n">
        <v>7000</v>
      </c>
      <c r="D156" s="0" t="s">
        <v>39</v>
      </c>
      <c r="E156" s="0" t="s">
        <v>44</v>
      </c>
      <c r="F156" s="0" t="n">
        <v>7</v>
      </c>
      <c r="G156" s="0" t="n">
        <v>0.423</v>
      </c>
      <c r="H156" s="0" t="n">
        <v>0.07</v>
      </c>
      <c r="I156" s="0" t="n">
        <v>0.6875</v>
      </c>
      <c r="J156" s="0" t="n">
        <v>0.19281583723777</v>
      </c>
      <c r="K156" s="0" t="n">
        <v>1.53239929947461</v>
      </c>
      <c r="L156" s="0" t="n">
        <v>10.0143061516452</v>
      </c>
      <c r="M156" s="0" t="n">
        <v>29.9145299145299</v>
      </c>
      <c r="N156" s="0" t="n">
        <v>23691</v>
      </c>
      <c r="O156" s="0" t="n">
        <v>4568</v>
      </c>
      <c r="P156" s="0" t="n">
        <v>699</v>
      </c>
      <c r="Q156" s="0" t="n">
        <v>234</v>
      </c>
      <c r="R156" s="0" t="n">
        <v>0.494</v>
      </c>
      <c r="S156" s="0" t="n">
        <v>0.015</v>
      </c>
      <c r="T156" s="0" t="s">
        <v>34</v>
      </c>
      <c r="U156" s="0" t="s">
        <v>34</v>
      </c>
      <c r="AA156" s="0" t="s">
        <v>410</v>
      </c>
      <c r="AB156" s="0" t="n">
        <f aca="false">FALSE()</f>
        <v>0</v>
      </c>
      <c r="AC156" s="4" t="s">
        <v>411</v>
      </c>
      <c r="AD156" s="4" t="s">
        <v>37</v>
      </c>
      <c r="AE156" s="4" t="s">
        <v>412</v>
      </c>
    </row>
    <row r="157" customFormat="false" ht="15" hidden="false" customHeight="false" outlineLevel="0" collapsed="false">
      <c r="A157" s="0" t="s">
        <v>31</v>
      </c>
      <c r="B157" s="0" t="n">
        <v>7000</v>
      </c>
      <c r="C157" s="0" t="n">
        <v>8300</v>
      </c>
      <c r="D157" s="0" t="s">
        <v>39</v>
      </c>
      <c r="E157" s="0" t="s">
        <v>44</v>
      </c>
      <c r="F157" s="0" t="n">
        <v>5.3</v>
      </c>
      <c r="G157" s="0" t="n">
        <v>0.63</v>
      </c>
      <c r="H157" s="0" t="n">
        <v>0.034</v>
      </c>
      <c r="I157" s="0" t="n">
        <v>0.9355</v>
      </c>
      <c r="J157" s="0" t="n">
        <v>0.140746774283123</v>
      </c>
      <c r="K157" s="0" t="n">
        <v>1.09167433907668</v>
      </c>
      <c r="L157" s="0" t="n">
        <v>16.147859922179</v>
      </c>
      <c r="M157" s="0" t="n">
        <v>1037.5</v>
      </c>
      <c r="N157" s="0" t="n">
        <v>54019</v>
      </c>
      <c r="O157" s="0" t="n">
        <v>7603</v>
      </c>
      <c r="P157" s="0" t="n">
        <v>514</v>
      </c>
      <c r="Q157" s="0" t="n">
        <v>8</v>
      </c>
      <c r="R157" s="0" t="n">
        <v>0.681</v>
      </c>
      <c r="S157" s="0" t="n">
        <v>0.017</v>
      </c>
      <c r="T157" s="0" t="s">
        <v>34</v>
      </c>
      <c r="U157" s="0" t="n">
        <v>0.4706</v>
      </c>
      <c r="AA157" s="0" t="s">
        <v>464</v>
      </c>
      <c r="AB157" s="0" t="n">
        <f aca="false">FALSE()</f>
        <v>0</v>
      </c>
      <c r="AC157" s="4" t="s">
        <v>465</v>
      </c>
      <c r="AD157" s="4" t="s">
        <v>133</v>
      </c>
      <c r="AE157" s="4" t="s">
        <v>466</v>
      </c>
    </row>
    <row r="158" customFormat="false" ht="15" hidden="false" customHeight="false" outlineLevel="0" collapsed="false">
      <c r="A158" s="0" t="s">
        <v>31</v>
      </c>
      <c r="B158" s="0" t="n">
        <v>8003</v>
      </c>
      <c r="C158" s="0" t="n">
        <v>15000</v>
      </c>
      <c r="D158" s="0" t="s">
        <v>39</v>
      </c>
      <c r="E158" s="0" t="s">
        <v>44</v>
      </c>
      <c r="F158" s="0" t="n">
        <v>8.2</v>
      </c>
      <c r="G158" s="0" t="n">
        <v>0.225</v>
      </c>
      <c r="H158" s="0" t="n">
        <v>0.047</v>
      </c>
      <c r="I158" s="0" t="n">
        <v>0.8494</v>
      </c>
      <c r="J158" s="0" t="n">
        <v>0.16005647759074</v>
      </c>
      <c r="K158" s="0" t="n">
        <v>0.792351170038561</v>
      </c>
      <c r="L158" s="0" t="n">
        <v>12.7442650807137</v>
      </c>
      <c r="M158" s="0" t="n">
        <v>33.5570469798658</v>
      </c>
      <c r="N158" s="0" t="n">
        <v>118277</v>
      </c>
      <c r="O158" s="0" t="n">
        <v>18931</v>
      </c>
      <c r="P158" s="0" t="n">
        <v>1177</v>
      </c>
      <c r="Q158" s="0" t="n">
        <v>447</v>
      </c>
      <c r="R158" s="0" t="n">
        <v>0.682</v>
      </c>
      <c r="S158" s="0" t="n">
        <v>0.004</v>
      </c>
      <c r="T158" s="0" t="s">
        <v>34</v>
      </c>
      <c r="U158" s="0" t="n">
        <v>0.3303</v>
      </c>
      <c r="AA158" s="0" t="s">
        <v>467</v>
      </c>
      <c r="AB158" s="0" t="n">
        <f aca="false">FALSE()</f>
        <v>0</v>
      </c>
      <c r="AC158" s="4" t="s">
        <v>468</v>
      </c>
      <c r="AD158" s="4" t="s">
        <v>469</v>
      </c>
      <c r="AE158" s="4" t="s">
        <v>470</v>
      </c>
    </row>
    <row r="159" customFormat="false" ht="15" hidden="false" customHeight="false" outlineLevel="0" collapsed="false">
      <c r="A159" s="0" t="s">
        <v>31</v>
      </c>
      <c r="B159" s="0" t="n">
        <v>11000</v>
      </c>
      <c r="C159" s="0" t="n">
        <v>16000</v>
      </c>
      <c r="D159" s="0" t="s">
        <v>32</v>
      </c>
      <c r="E159" s="0" t="s">
        <v>33</v>
      </c>
      <c r="F159" s="0" t="n">
        <v>11.6</v>
      </c>
      <c r="G159" s="0" t="n">
        <v>0.414</v>
      </c>
      <c r="H159" s="0" t="n">
        <v>0.05</v>
      </c>
      <c r="I159" s="0" t="n">
        <v>0.4624</v>
      </c>
      <c r="J159" s="0" t="n">
        <v>0.125581022599776</v>
      </c>
      <c r="K159" s="0" t="n">
        <v>5.10529674537333</v>
      </c>
      <c r="L159" s="0" t="n">
        <v>65.3061224489796</v>
      </c>
      <c r="M159" s="0" t="n">
        <v>9.8219766728054</v>
      </c>
      <c r="N159" s="0" t="n">
        <v>24956</v>
      </c>
      <c r="O159" s="0" t="n">
        <v>3134</v>
      </c>
      <c r="P159" s="0" t="n">
        <v>245</v>
      </c>
      <c r="Q159" s="0" t="n">
        <v>1629</v>
      </c>
      <c r="R159" s="0" t="n">
        <v>0.164</v>
      </c>
      <c r="S159" s="0" t="n">
        <v>0.162</v>
      </c>
      <c r="T159" s="0" t="s">
        <v>34</v>
      </c>
      <c r="U159" s="0" t="s">
        <v>34</v>
      </c>
      <c r="AA159" s="4" t="s">
        <v>218</v>
      </c>
      <c r="AB159" s="0" t="n">
        <f aca="false">FALSE()</f>
        <v>0</v>
      </c>
      <c r="AC159" s="4" t="s">
        <v>218</v>
      </c>
      <c r="AD159" s="4" t="s">
        <v>122</v>
      </c>
      <c r="AE159" s="4" t="s">
        <v>219</v>
      </c>
    </row>
    <row r="160" customFormat="false" ht="15" hidden="false" customHeight="false" outlineLevel="0" collapsed="false">
      <c r="A160" s="0" t="s">
        <v>31</v>
      </c>
      <c r="B160" s="0" t="n">
        <v>12000</v>
      </c>
      <c r="C160" s="0" t="n">
        <v>20000</v>
      </c>
      <c r="D160" s="0" t="s">
        <v>39</v>
      </c>
      <c r="E160" s="0" t="s">
        <v>44</v>
      </c>
      <c r="F160" s="0" t="n">
        <v>6.1</v>
      </c>
      <c r="G160" s="0" t="n">
        <v>0.643</v>
      </c>
      <c r="H160" s="0" t="n">
        <v>0.025</v>
      </c>
      <c r="I160" s="0" t="n">
        <v>0.9606</v>
      </c>
      <c r="J160" s="0" t="n">
        <v>0.100802326207528</v>
      </c>
      <c r="K160" s="0" t="n">
        <v>5.34188034188034</v>
      </c>
      <c r="L160" s="0" t="n">
        <v>16.4203612479475</v>
      </c>
      <c r="M160" s="0" t="n">
        <v>285.714285714286</v>
      </c>
      <c r="N160" s="0" t="n">
        <v>37142</v>
      </c>
      <c r="O160" s="0" t="n">
        <v>3744</v>
      </c>
      <c r="P160" s="0" t="n">
        <v>1218</v>
      </c>
      <c r="Q160" s="0" t="n">
        <v>70</v>
      </c>
      <c r="R160" s="0" t="n">
        <v>0.822</v>
      </c>
      <c r="S160" s="0" t="n">
        <v>0.003</v>
      </c>
      <c r="T160" s="0" t="s">
        <v>34</v>
      </c>
      <c r="U160" s="0" t="n">
        <v>0.1018</v>
      </c>
      <c r="AA160" s="0" t="s">
        <v>471</v>
      </c>
      <c r="AB160" s="0" t="n">
        <f aca="false">FALSE()</f>
        <v>0</v>
      </c>
      <c r="AC160" s="4" t="s">
        <v>472</v>
      </c>
      <c r="AD160" s="4" t="s">
        <v>133</v>
      </c>
      <c r="AE160" s="4" t="s">
        <v>473</v>
      </c>
    </row>
    <row r="161" customFormat="false" ht="15" hidden="false" customHeight="false" outlineLevel="0" collapsed="false">
      <c r="AD161" s="4" t="s">
        <v>122</v>
      </c>
      <c r="AE161" s="4" t="s">
        <v>123</v>
      </c>
    </row>
    <row r="162" customFormat="false" ht="15" hidden="false" customHeight="false" outlineLevel="0" collapsed="false">
      <c r="A162" s="0" t="s">
        <v>31</v>
      </c>
      <c r="B162" s="0" t="n">
        <v>13000</v>
      </c>
      <c r="C162" s="0" t="n">
        <v>27300</v>
      </c>
      <c r="D162" s="0" t="s">
        <v>32</v>
      </c>
      <c r="E162" s="0" t="s">
        <v>33</v>
      </c>
      <c r="F162" s="0" t="n">
        <v>18.3</v>
      </c>
      <c r="G162" s="0" t="n">
        <v>0.397</v>
      </c>
      <c r="H162" s="0" t="n">
        <v>0.033</v>
      </c>
      <c r="I162" s="0" t="n">
        <v>0.9708</v>
      </c>
      <c r="J162" s="0" t="n">
        <v>0.11986531986532</v>
      </c>
      <c r="K162" s="0" t="n">
        <v>13.9427987742594</v>
      </c>
      <c r="L162" s="0" t="n">
        <v>14.4981412639405</v>
      </c>
      <c r="M162" s="0" t="n">
        <v>150</v>
      </c>
      <c r="N162" s="0" t="n">
        <v>16335</v>
      </c>
      <c r="O162" s="0" t="n">
        <v>1958</v>
      </c>
      <c r="P162" s="0" t="n">
        <v>1883</v>
      </c>
      <c r="Q162" s="0" t="n">
        <v>182</v>
      </c>
      <c r="R162" s="0" t="n">
        <v>0.423</v>
      </c>
      <c r="S162" s="0" t="n">
        <v>0.035</v>
      </c>
      <c r="T162" s="0" t="s">
        <v>34</v>
      </c>
      <c r="U162" s="0" t="n">
        <v>0.097</v>
      </c>
      <c r="AA162" s="0" t="s">
        <v>474</v>
      </c>
      <c r="AB162" s="0" t="n">
        <f aca="false">FALSE()</f>
        <v>0</v>
      </c>
      <c r="AC162" s="4" t="s">
        <v>475</v>
      </c>
      <c r="AD162" s="4" t="s">
        <v>260</v>
      </c>
      <c r="AE162" s="4" t="s">
        <v>476</v>
      </c>
    </row>
    <row r="163" customFormat="false" ht="15" hidden="false" customHeight="false" outlineLevel="0" collapsed="false">
      <c r="A163" s="0" t="s">
        <v>31</v>
      </c>
      <c r="B163" s="0" t="n">
        <v>13000</v>
      </c>
      <c r="C163" s="0" t="n">
        <v>19800</v>
      </c>
      <c r="D163" s="0" t="s">
        <v>39</v>
      </c>
      <c r="E163" s="0" t="s">
        <v>33</v>
      </c>
      <c r="F163" s="0" t="n">
        <v>24.6</v>
      </c>
      <c r="G163" s="0" t="n">
        <v>0.459</v>
      </c>
      <c r="H163" s="0" t="n">
        <v>0.051</v>
      </c>
      <c r="I163" s="0" t="n">
        <v>0.9183</v>
      </c>
      <c r="J163" s="0" t="n">
        <v>0.260233139937191</v>
      </c>
      <c r="K163" s="0" t="n">
        <v>4.04990795663735</v>
      </c>
      <c r="L163" s="0" t="n">
        <v>53.083109919571</v>
      </c>
      <c r="N163" s="0" t="n">
        <v>18787</v>
      </c>
      <c r="O163" s="0" t="n">
        <v>4889</v>
      </c>
      <c r="P163" s="0" t="n">
        <v>373</v>
      </c>
      <c r="Q163" s="0" t="s">
        <v>43</v>
      </c>
      <c r="R163" s="0" t="n">
        <v>0.95</v>
      </c>
      <c r="S163" s="0" t="n">
        <v>0.002</v>
      </c>
      <c r="T163" s="0" t="s">
        <v>34</v>
      </c>
      <c r="U163" s="0" t="s">
        <v>34</v>
      </c>
      <c r="AA163" s="0" t="s">
        <v>328</v>
      </c>
      <c r="AB163" s="0" t="n">
        <f aca="false">FALSE()</f>
        <v>0</v>
      </c>
      <c r="AC163" s="4" t="s">
        <v>329</v>
      </c>
      <c r="AD163" s="4" t="s">
        <v>54</v>
      </c>
      <c r="AE163" s="4" t="s">
        <v>477</v>
      </c>
    </row>
    <row r="164" customFormat="false" ht="15" hidden="false" customHeight="false" outlineLevel="0" collapsed="false">
      <c r="A164" s="0" t="s">
        <v>31</v>
      </c>
      <c r="B164" s="0" t="n">
        <v>12000</v>
      </c>
      <c r="C164" s="0" t="n">
        <v>15000</v>
      </c>
      <c r="D164" s="0" t="s">
        <v>39</v>
      </c>
      <c r="E164" s="0" t="s">
        <v>44</v>
      </c>
      <c r="F164" s="0" t="n">
        <v>3.1</v>
      </c>
      <c r="G164" s="0" t="n">
        <v>0.513</v>
      </c>
      <c r="H164" s="0" t="n">
        <v>0.035</v>
      </c>
      <c r="I164" s="0" t="n">
        <v>0.6942</v>
      </c>
      <c r="J164" s="0" t="n">
        <v>0.156023114535487</v>
      </c>
      <c r="K164" s="0" t="n">
        <v>7.12250712250712</v>
      </c>
      <c r="L164" s="0" t="n">
        <v>21.5827338129496</v>
      </c>
      <c r="M164" s="0" t="n">
        <v>300</v>
      </c>
      <c r="N164" s="0" t="n">
        <v>13498</v>
      </c>
      <c r="O164" s="0" t="n">
        <v>2106</v>
      </c>
      <c r="P164" s="0" t="n">
        <v>695</v>
      </c>
      <c r="Q164" s="0" t="n">
        <v>50</v>
      </c>
      <c r="R164" s="0" t="n">
        <v>0.74</v>
      </c>
      <c r="S164" s="0" t="n">
        <v>0.056</v>
      </c>
      <c r="T164" s="0" t="s">
        <v>34</v>
      </c>
      <c r="U164" s="0" t="n">
        <v>0.1399</v>
      </c>
      <c r="AA164" s="0" t="s">
        <v>410</v>
      </c>
      <c r="AB164" s="0" t="n">
        <f aca="false">FALSE()</f>
        <v>0</v>
      </c>
      <c r="AC164" s="4" t="s">
        <v>411</v>
      </c>
      <c r="AD164" s="4" t="s">
        <v>37</v>
      </c>
      <c r="AE164" s="4" t="s">
        <v>412</v>
      </c>
    </row>
    <row r="165" customFormat="false" ht="15" hidden="false" customHeight="false" outlineLevel="0" collapsed="false">
      <c r="A165" s="0" t="s">
        <v>31</v>
      </c>
      <c r="B165" s="0" t="n">
        <v>5600</v>
      </c>
      <c r="C165" s="0" t="n">
        <v>7000</v>
      </c>
      <c r="D165" s="0" t="s">
        <v>32</v>
      </c>
      <c r="E165" s="0" t="s">
        <v>44</v>
      </c>
      <c r="F165" s="0" t="n">
        <v>5.2</v>
      </c>
      <c r="G165" s="0" t="n">
        <v>0.382</v>
      </c>
      <c r="H165" s="0" t="n">
        <v>0.054</v>
      </c>
      <c r="I165" s="0" t="n">
        <v>0.863</v>
      </c>
      <c r="J165" s="0" t="n">
        <v>0.384449244060475</v>
      </c>
      <c r="K165" s="0" t="n">
        <v>3.93258426966292</v>
      </c>
      <c r="L165" s="0" t="n">
        <v>15.3172866520788</v>
      </c>
      <c r="M165" s="0" t="n">
        <v>63.6363636363636</v>
      </c>
      <c r="N165" s="0" t="n">
        <v>4630</v>
      </c>
      <c r="O165" s="0" t="n">
        <v>1780</v>
      </c>
      <c r="P165" s="0" t="n">
        <v>457</v>
      </c>
      <c r="Q165" s="0" t="n">
        <v>110</v>
      </c>
      <c r="R165" s="0" t="n">
        <v>0.133</v>
      </c>
      <c r="S165" s="0" t="n">
        <v>0.299</v>
      </c>
      <c r="T165" s="0" t="s">
        <v>34</v>
      </c>
      <c r="U165" s="0" t="n">
        <v>0.1023</v>
      </c>
      <c r="AA165" s="0" t="s">
        <v>478</v>
      </c>
      <c r="AB165" s="0" t="n">
        <f aca="false">FALSE()</f>
        <v>0</v>
      </c>
      <c r="AC165" s="4" t="s">
        <v>479</v>
      </c>
      <c r="AD165" s="4" t="s">
        <v>260</v>
      </c>
      <c r="AE165" s="4" t="s">
        <v>480</v>
      </c>
    </row>
    <row r="166" customFormat="false" ht="15" hidden="false" customHeight="false" outlineLevel="0" collapsed="false">
      <c r="A166" s="0" t="s">
        <v>31</v>
      </c>
      <c r="B166" s="0" t="n">
        <v>12000</v>
      </c>
      <c r="C166" s="0" t="n">
        <v>16000</v>
      </c>
      <c r="D166" s="0" t="s">
        <v>39</v>
      </c>
      <c r="E166" s="0" t="s">
        <v>44</v>
      </c>
      <c r="F166" s="0" t="n">
        <v>6.6</v>
      </c>
      <c r="G166" s="0" t="n">
        <v>0.256</v>
      </c>
      <c r="H166" s="0" t="n">
        <v>0.059</v>
      </c>
      <c r="I166" s="0" t="n">
        <v>0.9124</v>
      </c>
      <c r="J166" s="0" t="n">
        <v>0.184441469582032</v>
      </c>
      <c r="K166" s="0" t="n">
        <v>6.45161290322581</v>
      </c>
      <c r="L166" s="0" t="n">
        <v>2.3598820058997</v>
      </c>
      <c r="M166" s="0" t="n">
        <v>74.0740740740741</v>
      </c>
      <c r="N166" s="0" t="n">
        <v>13446</v>
      </c>
      <c r="O166" s="0" t="n">
        <v>2480</v>
      </c>
      <c r="P166" s="0" t="n">
        <v>6780</v>
      </c>
      <c r="Q166" s="0" t="n">
        <v>216</v>
      </c>
      <c r="R166" s="0" t="n">
        <v>0.511</v>
      </c>
      <c r="S166" s="0" t="n">
        <v>0.291</v>
      </c>
      <c r="T166" s="0" t="s">
        <v>34</v>
      </c>
      <c r="U166" s="0" t="n">
        <v>0.1355</v>
      </c>
      <c r="AA166" s="4" t="s">
        <v>218</v>
      </c>
      <c r="AB166" s="0" t="n">
        <f aca="false">FALSE()</f>
        <v>0</v>
      </c>
      <c r="AC166" s="4" t="s">
        <v>218</v>
      </c>
      <c r="AD166" s="4" t="s">
        <v>122</v>
      </c>
      <c r="AE166" s="4" t="s">
        <v>276</v>
      </c>
    </row>
    <row r="167" customFormat="false" ht="15" hidden="false" customHeight="false" outlineLevel="0" collapsed="false">
      <c r="A167" s="0" t="s">
        <v>31</v>
      </c>
      <c r="B167" s="0" t="n">
        <v>6400</v>
      </c>
      <c r="C167" s="0" t="n">
        <v>8000</v>
      </c>
      <c r="D167" s="0" t="s">
        <v>32</v>
      </c>
      <c r="E167" s="0" t="s">
        <v>33</v>
      </c>
      <c r="F167" s="0" t="n">
        <v>13.1</v>
      </c>
      <c r="G167" s="0" t="n">
        <v>0.572</v>
      </c>
      <c r="H167" s="0" t="n">
        <v>0.025</v>
      </c>
      <c r="I167" s="0" t="n">
        <v>0.9812</v>
      </c>
      <c r="J167" s="0" t="n">
        <v>0.114589556697335</v>
      </c>
      <c r="K167" s="0" t="n">
        <v>4.17101147028154</v>
      </c>
      <c r="L167" s="0" t="n">
        <v>15.625</v>
      </c>
      <c r="M167" s="0" t="n">
        <v>571.428571428571</v>
      </c>
      <c r="N167" s="0" t="n">
        <v>16738</v>
      </c>
      <c r="O167" s="0" t="n">
        <v>1918</v>
      </c>
      <c r="P167" s="0" t="n">
        <v>512</v>
      </c>
      <c r="Q167" s="0" t="n">
        <v>14</v>
      </c>
      <c r="R167" s="0" t="n">
        <v>0.545</v>
      </c>
      <c r="S167" s="0" t="n">
        <v>0.007</v>
      </c>
      <c r="T167" s="0" t="s">
        <v>34</v>
      </c>
      <c r="U167" s="0" t="n">
        <v>0.6015</v>
      </c>
      <c r="AA167" s="0" t="s">
        <v>478</v>
      </c>
      <c r="AB167" s="0" t="n">
        <f aca="false">FALSE()</f>
        <v>0</v>
      </c>
      <c r="AC167" s="4" t="s">
        <v>479</v>
      </c>
      <c r="AD167" s="4" t="s">
        <v>260</v>
      </c>
      <c r="AE167" s="4" t="s">
        <v>481</v>
      </c>
    </row>
    <row r="168" customFormat="false" ht="15" hidden="false" customHeight="false" outlineLevel="0" collapsed="false">
      <c r="A168" s="0" t="s">
        <v>31</v>
      </c>
      <c r="B168" s="0" t="n">
        <v>10000</v>
      </c>
      <c r="C168" s="0" t="n">
        <v>25000</v>
      </c>
      <c r="D168" s="0" t="s">
        <v>32</v>
      </c>
      <c r="E168" s="0" t="s">
        <v>33</v>
      </c>
      <c r="F168" s="0" t="n">
        <v>22.8</v>
      </c>
      <c r="G168" s="0" t="n">
        <v>0.584</v>
      </c>
      <c r="H168" s="0" t="n">
        <v>0.025</v>
      </c>
      <c r="I168" s="0" t="n">
        <v>0.8972</v>
      </c>
      <c r="J168" s="0" t="n">
        <v>0.165904490591499</v>
      </c>
      <c r="K168" s="0" t="n">
        <v>11.2968820605513</v>
      </c>
      <c r="L168" s="0" t="n">
        <v>22.3413762287757</v>
      </c>
      <c r="N168" s="0" t="n">
        <v>13339</v>
      </c>
      <c r="O168" s="0" t="n">
        <v>2213</v>
      </c>
      <c r="P168" s="0" t="n">
        <v>1119</v>
      </c>
      <c r="Q168" s="0" t="s">
        <v>43</v>
      </c>
      <c r="R168" s="0" t="n">
        <v>0.517</v>
      </c>
      <c r="S168" s="0" t="n">
        <v>0.005</v>
      </c>
      <c r="T168" s="0" t="s">
        <v>34</v>
      </c>
      <c r="U168" s="0" t="s">
        <v>34</v>
      </c>
      <c r="AA168" s="0" t="s">
        <v>482</v>
      </c>
      <c r="AB168" s="0" t="n">
        <f aca="false">FALSE()</f>
        <v>0</v>
      </c>
      <c r="AC168" s="4" t="s">
        <v>483</v>
      </c>
      <c r="AD168" s="4" t="s">
        <v>133</v>
      </c>
      <c r="AE168" s="4" t="s">
        <v>484</v>
      </c>
    </row>
    <row r="169" customFormat="false" ht="15" hidden="false" customHeight="false" outlineLevel="0" collapsed="false">
      <c r="A169" s="0" t="s">
        <v>31</v>
      </c>
      <c r="B169" s="0" t="n">
        <v>12000</v>
      </c>
      <c r="C169" s="0" t="n">
        <v>14000</v>
      </c>
      <c r="D169" s="0" t="s">
        <v>39</v>
      </c>
      <c r="E169" s="0" t="s">
        <v>33</v>
      </c>
      <c r="F169" s="0" t="n">
        <v>15.6</v>
      </c>
      <c r="G169" s="0" t="n">
        <v>0.543</v>
      </c>
      <c r="H169" s="0" t="n">
        <v>0.032</v>
      </c>
      <c r="I169" s="0" t="n">
        <v>0.9616</v>
      </c>
      <c r="J169" s="0" t="n">
        <v>0.140621938955425</v>
      </c>
      <c r="K169" s="0" t="n">
        <v>1.30026934150646</v>
      </c>
      <c r="L169" s="0" t="n">
        <v>12.4113475177305</v>
      </c>
      <c r="N169" s="0" t="n">
        <v>76567</v>
      </c>
      <c r="O169" s="0" t="n">
        <v>10767</v>
      </c>
      <c r="P169" s="0" t="n">
        <v>1128</v>
      </c>
      <c r="Q169" s="0" t="s">
        <v>43</v>
      </c>
      <c r="R169" s="0" t="n">
        <v>0.488</v>
      </c>
      <c r="S169" s="0" t="n">
        <v>0.008</v>
      </c>
      <c r="T169" s="0" t="s">
        <v>34</v>
      </c>
      <c r="U169" s="0" t="n">
        <v>0.1818</v>
      </c>
      <c r="AA169" s="0" t="s">
        <v>365</v>
      </c>
      <c r="AB169" s="0" t="n">
        <f aca="false">FALSE()</f>
        <v>0</v>
      </c>
      <c r="AC169" s="4" t="s">
        <v>366</v>
      </c>
      <c r="AD169" s="4" t="s">
        <v>87</v>
      </c>
      <c r="AE169" s="4" t="s">
        <v>485</v>
      </c>
    </row>
    <row r="170" customFormat="false" ht="15" hidden="false" customHeight="false" outlineLevel="0" collapsed="false">
      <c r="A170" s="0" t="s">
        <v>31</v>
      </c>
      <c r="B170" s="0" t="n">
        <v>16000</v>
      </c>
      <c r="C170" s="0" t="n">
        <v>18000</v>
      </c>
      <c r="D170" s="0" t="s">
        <v>32</v>
      </c>
      <c r="E170" s="0" t="s">
        <v>33</v>
      </c>
      <c r="F170" s="0" t="n">
        <v>18.6</v>
      </c>
      <c r="G170" s="0" t="n">
        <v>0.272</v>
      </c>
      <c r="H170" s="0" t="n">
        <v>0.139</v>
      </c>
      <c r="I170" s="0" t="n">
        <v>0.9616</v>
      </c>
      <c r="J170" s="0" t="n">
        <v>0.124421219738061</v>
      </c>
      <c r="K170" s="0" t="n">
        <v>2.39234449760766</v>
      </c>
      <c r="L170" s="0" t="n">
        <v>8.41121495327103</v>
      </c>
      <c r="M170" s="0" t="n">
        <v>33.3951762523191</v>
      </c>
      <c r="N170" s="0" t="n">
        <v>60472</v>
      </c>
      <c r="O170" s="0" t="n">
        <v>7524</v>
      </c>
      <c r="P170" s="0" t="n">
        <v>2140</v>
      </c>
      <c r="Q170" s="0" t="n">
        <v>539</v>
      </c>
      <c r="R170" s="0" t="n">
        <v>0.645</v>
      </c>
      <c r="S170" s="0" t="n">
        <v>0.08</v>
      </c>
      <c r="T170" s="0" t="s">
        <v>34</v>
      </c>
      <c r="U170" s="0" t="n">
        <v>0.5535</v>
      </c>
      <c r="AA170" s="4" t="s">
        <v>218</v>
      </c>
      <c r="AB170" s="0" t="n">
        <f aca="false">FALSE()</f>
        <v>0</v>
      </c>
      <c r="AC170" s="4" t="s">
        <v>218</v>
      </c>
      <c r="AD170" s="4" t="s">
        <v>122</v>
      </c>
      <c r="AE170" s="4" t="s">
        <v>486</v>
      </c>
    </row>
    <row r="171" customFormat="false" ht="15" hidden="false" customHeight="false" outlineLevel="0" collapsed="false">
      <c r="A171" s="0" t="s">
        <v>31</v>
      </c>
      <c r="B171" s="0" t="n">
        <v>6400</v>
      </c>
      <c r="C171" s="0" t="n">
        <v>8000</v>
      </c>
      <c r="D171" s="0" t="s">
        <v>39</v>
      </c>
      <c r="E171" s="0" t="s">
        <v>44</v>
      </c>
      <c r="F171" s="0" t="n">
        <v>1.5</v>
      </c>
      <c r="G171" s="0" t="n">
        <v>0.474</v>
      </c>
      <c r="H171" s="0" t="n">
        <v>0.021</v>
      </c>
      <c r="I171" s="0" t="n">
        <v>0.9802</v>
      </c>
      <c r="J171" s="0" t="n">
        <v>0.147537227949599</v>
      </c>
      <c r="K171" s="0" t="n">
        <v>12.4223602484472</v>
      </c>
      <c r="L171" s="0" t="n">
        <v>16.4609053497942</v>
      </c>
      <c r="N171" s="0" t="n">
        <v>4365</v>
      </c>
      <c r="O171" s="0" t="n">
        <v>644</v>
      </c>
      <c r="P171" s="0" t="n">
        <v>486</v>
      </c>
      <c r="Q171" s="0" t="s">
        <v>43</v>
      </c>
      <c r="R171" s="0" t="n">
        <v>0.495</v>
      </c>
      <c r="S171" s="0" t="n">
        <v>0.047</v>
      </c>
      <c r="T171" s="0" t="s">
        <v>34</v>
      </c>
      <c r="U171" s="0" t="n">
        <v>0.0443</v>
      </c>
      <c r="AA171" s="0" t="s">
        <v>487</v>
      </c>
      <c r="AB171" s="0" t="n">
        <f aca="false">FALSE()</f>
        <v>0</v>
      </c>
      <c r="AC171" s="0" t="s">
        <v>70</v>
      </c>
      <c r="AD171" s="0" t="s">
        <v>70</v>
      </c>
      <c r="AE171" s="4" t="s">
        <v>71</v>
      </c>
    </row>
    <row r="172" customFormat="false" ht="15" hidden="false" customHeight="false" outlineLevel="0" collapsed="false">
      <c r="A172" s="0" t="s">
        <v>31</v>
      </c>
      <c r="B172" s="0" t="n">
        <v>6000</v>
      </c>
      <c r="C172" s="0" t="n">
        <v>8000</v>
      </c>
      <c r="D172" s="0" t="s">
        <v>39</v>
      </c>
      <c r="E172" s="0" t="s">
        <v>33</v>
      </c>
      <c r="F172" s="0" t="n">
        <v>11.3</v>
      </c>
      <c r="G172" s="0" t="n">
        <v>0.496</v>
      </c>
      <c r="H172" s="0" t="n">
        <v>0.03</v>
      </c>
      <c r="I172" s="0" t="n">
        <v>0.9581</v>
      </c>
      <c r="J172" s="0" t="n">
        <v>0.147185647185647</v>
      </c>
      <c r="K172" s="0" t="n">
        <v>2.09259743656814</v>
      </c>
      <c r="L172" s="0" t="n">
        <v>23.6686390532544</v>
      </c>
      <c r="M172" s="0" t="n">
        <v>117.647058823529</v>
      </c>
      <c r="N172" s="0" t="n">
        <v>25974</v>
      </c>
      <c r="O172" s="0" t="n">
        <v>3823</v>
      </c>
      <c r="P172" s="0" t="n">
        <v>338</v>
      </c>
      <c r="Q172" s="0" t="n">
        <v>68</v>
      </c>
      <c r="R172" s="0" t="n">
        <v>0.331</v>
      </c>
      <c r="S172" s="0" t="n">
        <v>0.02</v>
      </c>
      <c r="T172" s="0" t="s">
        <v>34</v>
      </c>
      <c r="U172" s="0" t="s">
        <v>34</v>
      </c>
      <c r="AA172" s="0" t="s">
        <v>488</v>
      </c>
      <c r="AB172" s="0" t="n">
        <f aca="false">FALSE()</f>
        <v>0</v>
      </c>
      <c r="AC172" s="0" t="s">
        <v>489</v>
      </c>
      <c r="AD172" s="0" t="s">
        <v>70</v>
      </c>
      <c r="AE172" s="4" t="s">
        <v>490</v>
      </c>
    </row>
    <row r="173" customFormat="false" ht="15" hidden="false" customHeight="false" outlineLevel="0" collapsed="false">
      <c r="A173" s="0" t="s">
        <v>31</v>
      </c>
      <c r="B173" s="0" t="n">
        <v>14400</v>
      </c>
      <c r="C173" s="0" t="n">
        <v>18000</v>
      </c>
      <c r="D173" s="0" t="s">
        <v>32</v>
      </c>
      <c r="E173" s="0" t="s">
        <v>33</v>
      </c>
      <c r="F173" s="0" t="n">
        <v>10.3</v>
      </c>
      <c r="G173" s="0" t="n">
        <v>0.619</v>
      </c>
      <c r="H173" s="0" t="n">
        <v>0.028</v>
      </c>
      <c r="I173" s="0" t="n">
        <v>0.9469</v>
      </c>
      <c r="J173" s="0" t="n">
        <v>0.169053042629352</v>
      </c>
      <c r="K173" s="0" t="n">
        <v>17.3243503368624</v>
      </c>
      <c r="L173" s="0" t="n">
        <v>11.8110236220472</v>
      </c>
      <c r="M173" s="0" t="n">
        <v>620.689655172414</v>
      </c>
      <c r="N173" s="0" t="n">
        <v>6146</v>
      </c>
      <c r="O173" s="0" t="n">
        <v>1039</v>
      </c>
      <c r="P173" s="0" t="n">
        <v>1524</v>
      </c>
      <c r="Q173" s="0" t="n">
        <v>29</v>
      </c>
      <c r="R173" s="0" t="n">
        <v>0.816</v>
      </c>
      <c r="S173" s="0" t="n">
        <v>0.044</v>
      </c>
      <c r="T173" s="0" t="s">
        <v>34</v>
      </c>
      <c r="U173" s="0" t="n">
        <v>0.0909</v>
      </c>
      <c r="AA173" s="0" t="s">
        <v>491</v>
      </c>
      <c r="AB173" s="0" t="n">
        <f aca="false">FALSE()</f>
        <v>0</v>
      </c>
      <c r="AC173" s="4" t="s">
        <v>492</v>
      </c>
      <c r="AD173" s="4" t="s">
        <v>133</v>
      </c>
      <c r="AE173" s="4" t="s">
        <v>493</v>
      </c>
    </row>
    <row r="174" customFormat="false" ht="15" hidden="false" customHeight="false" outlineLevel="0" collapsed="false">
      <c r="AD174" s="4" t="s">
        <v>122</v>
      </c>
      <c r="AE174" s="4" t="s">
        <v>265</v>
      </c>
    </row>
    <row r="175" customFormat="false" ht="15" hidden="false" customHeight="false" outlineLevel="0" collapsed="false">
      <c r="A175" s="0" t="s">
        <v>31</v>
      </c>
      <c r="B175" s="0" t="n">
        <v>17600</v>
      </c>
      <c r="C175" s="0" t="n">
        <v>22000</v>
      </c>
      <c r="D175" s="0" t="s">
        <v>39</v>
      </c>
      <c r="E175" s="0" t="s">
        <v>33</v>
      </c>
      <c r="F175" s="0" t="n">
        <v>23</v>
      </c>
      <c r="G175" s="0" t="n">
        <v>0.287</v>
      </c>
      <c r="H175" s="0" t="n">
        <v>0.068</v>
      </c>
      <c r="I175" s="0" t="n">
        <v>0.9042</v>
      </c>
      <c r="J175" s="0" t="n">
        <v>0.215831921009481</v>
      </c>
      <c r="K175" s="0" t="n">
        <v>0.40081620754992</v>
      </c>
      <c r="L175" s="0" t="n">
        <v>2.39599215857112</v>
      </c>
      <c r="N175" s="0" t="n">
        <v>254309</v>
      </c>
      <c r="O175" s="0" t="n">
        <v>54888</v>
      </c>
      <c r="P175" s="0" t="n">
        <v>9182</v>
      </c>
      <c r="Q175" s="0" t="s">
        <v>43</v>
      </c>
      <c r="R175" s="0" t="n">
        <v>0.877</v>
      </c>
      <c r="S175" s="0" t="n">
        <v>0.001</v>
      </c>
      <c r="T175" s="0" t="s">
        <v>34</v>
      </c>
      <c r="U175" s="0" t="n">
        <v>0.2909</v>
      </c>
      <c r="V175" s="0" t="s">
        <v>372</v>
      </c>
      <c r="W175" s="4" t="s">
        <v>113</v>
      </c>
      <c r="X175" s="4" t="s">
        <v>267</v>
      </c>
      <c r="Y175" s="4" t="s">
        <v>395</v>
      </c>
      <c r="AA175" s="0" t="s">
        <v>494</v>
      </c>
      <c r="AB175" s="0" t="n">
        <f aca="false">TRUE()</f>
        <v>1</v>
      </c>
      <c r="AC175" s="4" t="s">
        <v>495</v>
      </c>
      <c r="AD175" s="4" t="s">
        <v>496</v>
      </c>
      <c r="AE175" s="4" t="s">
        <v>497</v>
      </c>
    </row>
    <row r="176" customFormat="false" ht="15" hidden="false" customHeight="false" outlineLevel="0" collapsed="false">
      <c r="A176" s="0" t="s">
        <v>31</v>
      </c>
      <c r="B176" s="0" t="n">
        <v>5400</v>
      </c>
      <c r="C176" s="0" t="n">
        <v>7400</v>
      </c>
      <c r="D176" s="0" t="s">
        <v>32</v>
      </c>
      <c r="E176" s="0" t="s">
        <v>44</v>
      </c>
      <c r="F176" s="0" t="n">
        <v>7.2</v>
      </c>
      <c r="G176" s="0" t="n">
        <v>0.457</v>
      </c>
      <c r="H176" s="0" t="n">
        <v>0.035</v>
      </c>
      <c r="I176" s="0" t="n">
        <v>0.8197</v>
      </c>
      <c r="J176" s="0" t="n">
        <v>0.10665750417953</v>
      </c>
      <c r="K176" s="0" t="n">
        <v>0.519280700067314</v>
      </c>
      <c r="L176" s="0" t="n">
        <v>11.1801242236025</v>
      </c>
      <c r="M176" s="0" t="n">
        <v>3.77622377622378</v>
      </c>
      <c r="N176" s="0" t="n">
        <v>97499</v>
      </c>
      <c r="O176" s="0" t="n">
        <v>10399</v>
      </c>
      <c r="P176" s="0" t="n">
        <v>483</v>
      </c>
      <c r="Q176" s="0" t="n">
        <v>1430</v>
      </c>
      <c r="R176" s="0" t="n">
        <v>0.859</v>
      </c>
      <c r="S176" s="0" t="n">
        <v>0.069</v>
      </c>
      <c r="T176" s="0" t="n">
        <v>0.3508</v>
      </c>
      <c r="U176" s="0" t="s">
        <v>34</v>
      </c>
      <c r="V176" s="0" t="s">
        <v>335</v>
      </c>
      <c r="W176" s="4" t="s">
        <v>46</v>
      </c>
      <c r="X176" s="0" t="s">
        <v>498</v>
      </c>
      <c r="Y176" s="4" t="s">
        <v>499</v>
      </c>
      <c r="AA176" s="0" t="s">
        <v>500</v>
      </c>
      <c r="AB176" s="0" t="n">
        <f aca="false">TRUE()</f>
        <v>1</v>
      </c>
      <c r="AC176" s="4" t="s">
        <v>501</v>
      </c>
      <c r="AD176" s="4" t="s">
        <v>376</v>
      </c>
      <c r="AE176" s="4" t="s">
        <v>502</v>
      </c>
    </row>
    <row r="177" customFormat="false" ht="15" hidden="false" customHeight="false" outlineLevel="0" collapsed="false">
      <c r="A177" s="0" t="s">
        <v>31</v>
      </c>
      <c r="B177" s="0" t="n">
        <v>8000</v>
      </c>
      <c r="C177" s="0" t="n">
        <v>10000</v>
      </c>
      <c r="D177" s="0" t="s">
        <v>32</v>
      </c>
      <c r="E177" s="0" t="s">
        <v>44</v>
      </c>
      <c r="F177" s="0" t="n">
        <v>9.6</v>
      </c>
      <c r="G177" s="0" t="n">
        <v>0.712</v>
      </c>
      <c r="H177" s="0" t="n">
        <v>0.029</v>
      </c>
      <c r="I177" s="0" t="n">
        <v>0.9181</v>
      </c>
      <c r="J177" s="0" t="n">
        <v>0.103432173710016</v>
      </c>
      <c r="K177" s="0" t="n">
        <v>0.594035879767138</v>
      </c>
      <c r="L177" s="0" t="n">
        <v>2.70562770562771</v>
      </c>
      <c r="N177" s="0" t="n">
        <v>162754</v>
      </c>
      <c r="O177" s="0" t="n">
        <v>16834</v>
      </c>
      <c r="P177" s="0" t="n">
        <v>3696</v>
      </c>
      <c r="Q177" s="0" t="s">
        <v>43</v>
      </c>
      <c r="R177" s="0" t="n">
        <v>0.888</v>
      </c>
      <c r="S177" s="0" t="n">
        <v>0.039</v>
      </c>
      <c r="T177" s="0" t="s">
        <v>34</v>
      </c>
      <c r="U177" s="0" t="s">
        <v>34</v>
      </c>
      <c r="AA177" s="0" t="s">
        <v>328</v>
      </c>
      <c r="AB177" s="0" t="n">
        <f aca="false">FALSE()</f>
        <v>0</v>
      </c>
      <c r="AC177" s="4" t="s">
        <v>329</v>
      </c>
      <c r="AD177" s="4" t="s">
        <v>54</v>
      </c>
      <c r="AE177" s="4" t="s">
        <v>503</v>
      </c>
    </row>
    <row r="178" customFormat="false" ht="15" hidden="false" customHeight="false" outlineLevel="0" collapsed="false">
      <c r="A178" s="0" t="s">
        <v>31</v>
      </c>
      <c r="B178" s="0" t="n">
        <v>3600</v>
      </c>
      <c r="C178" s="0" t="s">
        <v>43</v>
      </c>
      <c r="D178" s="0" t="s">
        <v>32</v>
      </c>
      <c r="E178" s="0" t="s">
        <v>33</v>
      </c>
      <c r="F178" s="0" t="n">
        <v>13.3</v>
      </c>
      <c r="G178" s="0" t="n">
        <v>0.211</v>
      </c>
      <c r="H178" s="0" t="n">
        <v>0.057</v>
      </c>
      <c r="I178" s="0" t="n">
        <v>0.8139</v>
      </c>
      <c r="J178" s="0" t="n">
        <v>0.121215272241594</v>
      </c>
      <c r="K178" s="0" t="n">
        <v>0.0686276378748308</v>
      </c>
      <c r="L178" s="0" t="n">
        <v>8.18181818181818</v>
      </c>
      <c r="M178" s="0" t="n">
        <v>2.24159402241594</v>
      </c>
      <c r="N178" s="0" t="n">
        <v>432759</v>
      </c>
      <c r="O178" s="0" t="n">
        <v>52457</v>
      </c>
      <c r="P178" s="0" t="n">
        <v>440</v>
      </c>
      <c r="Q178" s="0" t="n">
        <v>1606</v>
      </c>
      <c r="R178" s="0" t="n">
        <v>0.81</v>
      </c>
      <c r="S178" s="0" t="n">
        <v>0.149</v>
      </c>
      <c r="T178" s="0" t="n">
        <v>0.3553</v>
      </c>
      <c r="U178" s="0" t="s">
        <v>34</v>
      </c>
      <c r="V178" s="0" t="s">
        <v>372</v>
      </c>
      <c r="W178" s="4" t="s">
        <v>113</v>
      </c>
      <c r="X178" s="4" t="s">
        <v>267</v>
      </c>
      <c r="Y178" s="4" t="s">
        <v>395</v>
      </c>
      <c r="AA178" s="0" t="s">
        <v>504</v>
      </c>
      <c r="AB178" s="0" t="n">
        <f aca="false">TRUE()</f>
        <v>1</v>
      </c>
      <c r="AC178" s="4" t="s">
        <v>505</v>
      </c>
      <c r="AD178" s="4" t="s">
        <v>376</v>
      </c>
      <c r="AE178" s="4" t="s">
        <v>506</v>
      </c>
    </row>
    <row r="179" customFormat="false" ht="15" hidden="false" customHeight="false" outlineLevel="0" collapsed="false">
      <c r="A179" s="0" t="s">
        <v>31</v>
      </c>
      <c r="B179" s="0" t="n">
        <v>3000</v>
      </c>
      <c r="C179" s="0" t="n">
        <v>5000</v>
      </c>
      <c r="D179" s="0" t="s">
        <v>32</v>
      </c>
      <c r="E179" s="0" t="s">
        <v>44</v>
      </c>
      <c r="F179" s="0" t="n">
        <v>4.1</v>
      </c>
      <c r="G179" s="0" t="n">
        <v>0.342</v>
      </c>
      <c r="H179" s="0" t="n">
        <v>0.024</v>
      </c>
      <c r="I179" s="0" t="n">
        <v>0.9787</v>
      </c>
      <c r="J179" s="0" t="n">
        <v>0.122165713074804</v>
      </c>
      <c r="K179" s="0" t="n">
        <v>4.33651344319167</v>
      </c>
      <c r="L179" s="0" t="n">
        <v>25</v>
      </c>
      <c r="M179" s="0" t="n">
        <v>125</v>
      </c>
      <c r="N179" s="0" t="n">
        <v>9438</v>
      </c>
      <c r="O179" s="0" t="n">
        <v>1153</v>
      </c>
      <c r="P179" s="0" t="n">
        <v>200</v>
      </c>
      <c r="Q179" s="0" t="n">
        <v>40</v>
      </c>
      <c r="R179" s="0" t="n">
        <v>0.556</v>
      </c>
      <c r="S179" s="0" t="n">
        <v>0.04</v>
      </c>
      <c r="T179" s="0" t="s">
        <v>34</v>
      </c>
      <c r="U179" s="0" t="n">
        <v>0.0712</v>
      </c>
      <c r="AA179" s="0" t="s">
        <v>507</v>
      </c>
      <c r="AB179" s="0" t="n">
        <f aca="false">FALSE()</f>
        <v>0</v>
      </c>
      <c r="AC179" s="4" t="s">
        <v>508</v>
      </c>
      <c r="AD179" s="4" t="s">
        <v>37</v>
      </c>
      <c r="AE179" s="4" t="s">
        <v>509</v>
      </c>
    </row>
    <row r="180" customFormat="false" ht="15" hidden="false" customHeight="false" outlineLevel="0" collapsed="false">
      <c r="A180" s="0" t="s">
        <v>31</v>
      </c>
      <c r="B180" s="0" t="n">
        <v>30000</v>
      </c>
      <c r="C180" s="0" t="n">
        <v>45000</v>
      </c>
      <c r="D180" s="0" t="s">
        <v>32</v>
      </c>
      <c r="E180" s="0" t="s">
        <v>33</v>
      </c>
      <c r="F180" s="0" t="n">
        <v>20.9</v>
      </c>
      <c r="G180" s="0" t="n">
        <v>0.26</v>
      </c>
      <c r="H180" s="0" t="n">
        <v>0.036</v>
      </c>
      <c r="I180" s="0" t="n">
        <v>0.8736</v>
      </c>
      <c r="J180" s="0" t="n">
        <v>0.178897857744367</v>
      </c>
      <c r="K180" s="0" t="n">
        <v>2.58323765786452</v>
      </c>
      <c r="L180" s="0" t="n">
        <v>69.1244239631336</v>
      </c>
      <c r="M180" s="0" t="n">
        <v>40.0355871886121</v>
      </c>
      <c r="N180" s="0" t="n">
        <v>97374</v>
      </c>
      <c r="O180" s="0" t="n">
        <v>17420</v>
      </c>
      <c r="P180" s="0" t="n">
        <v>651</v>
      </c>
      <c r="Q180" s="0" t="n">
        <v>1124</v>
      </c>
      <c r="R180" s="0" t="n">
        <v>0.735</v>
      </c>
      <c r="S180" s="0" t="n">
        <v>0.037</v>
      </c>
      <c r="T180" s="0" t="s">
        <v>34</v>
      </c>
      <c r="U180" s="0" t="n">
        <v>0.2932</v>
      </c>
      <c r="V180" s="0" t="s">
        <v>372</v>
      </c>
      <c r="W180" s="4" t="s">
        <v>113</v>
      </c>
      <c r="X180" s="4" t="s">
        <v>420</v>
      </c>
      <c r="Y180" s="4" t="s">
        <v>510</v>
      </c>
      <c r="AA180" s="0" t="s">
        <v>511</v>
      </c>
      <c r="AB180" s="0" t="n">
        <f aca="false">FALSE()</f>
        <v>0</v>
      </c>
      <c r="AC180" s="0" t="s">
        <v>512</v>
      </c>
      <c r="AD180" s="4" t="s">
        <v>122</v>
      </c>
      <c r="AE180" s="4" t="s">
        <v>513</v>
      </c>
    </row>
    <row r="181" customFormat="false" ht="15" hidden="false" customHeight="false" outlineLevel="0" collapsed="false">
      <c r="A181" s="0" t="s">
        <v>31</v>
      </c>
      <c r="B181" s="0" t="n">
        <v>36000</v>
      </c>
      <c r="C181" s="0" t="n">
        <v>38000</v>
      </c>
      <c r="D181" s="0" t="s">
        <v>32</v>
      </c>
      <c r="E181" s="0" t="s">
        <v>59</v>
      </c>
      <c r="F181" s="0" t="n">
        <v>54.2</v>
      </c>
      <c r="G181" s="0" t="n">
        <v>0.488</v>
      </c>
      <c r="H181" s="0" t="n">
        <v>0.031</v>
      </c>
      <c r="I181" s="0" t="n">
        <v>0.9668</v>
      </c>
      <c r="J181" s="0" t="n">
        <v>0.126942919505258</v>
      </c>
      <c r="K181" s="0" t="n">
        <v>4.94985020190179</v>
      </c>
      <c r="L181" s="0" t="n">
        <v>17.5681923254739</v>
      </c>
      <c r="N181" s="0" t="n">
        <v>60476</v>
      </c>
      <c r="O181" s="0" t="n">
        <v>7677</v>
      </c>
      <c r="P181" s="0" t="n">
        <v>2163</v>
      </c>
      <c r="Q181" s="0" t="s">
        <v>43</v>
      </c>
      <c r="R181" s="0" t="n">
        <v>0.539</v>
      </c>
      <c r="S181" s="0" t="n">
        <v>0.007</v>
      </c>
      <c r="T181" s="0" t="s">
        <v>34</v>
      </c>
      <c r="U181" s="0" t="s">
        <v>34</v>
      </c>
      <c r="AA181" s="4" t="s">
        <v>218</v>
      </c>
      <c r="AB181" s="0" t="n">
        <f aca="false">FALSE()</f>
        <v>0</v>
      </c>
      <c r="AC181" s="4" t="s">
        <v>218</v>
      </c>
      <c r="AD181" s="4" t="s">
        <v>122</v>
      </c>
      <c r="AE181" s="4" t="s">
        <v>486</v>
      </c>
    </row>
    <row r="182" customFormat="false" ht="15" hidden="false" customHeight="false" outlineLevel="0" collapsed="false">
      <c r="A182" s="0" t="s">
        <v>31</v>
      </c>
      <c r="B182" s="0" t="s">
        <v>43</v>
      </c>
      <c r="C182" s="0" t="n">
        <v>8000</v>
      </c>
      <c r="D182" s="0" t="s">
        <v>98</v>
      </c>
      <c r="E182" s="0" t="s">
        <v>33</v>
      </c>
      <c r="F182" s="0" t="n">
        <v>12</v>
      </c>
      <c r="G182" s="0" t="n">
        <v>0.319</v>
      </c>
      <c r="H182" s="0" t="n">
        <v>0.082</v>
      </c>
      <c r="I182" s="0" t="n">
        <v>0.9028</v>
      </c>
      <c r="J182" s="0" t="n">
        <v>0.284604828305776</v>
      </c>
      <c r="K182" s="0" t="n">
        <v>0.144474744008813</v>
      </c>
      <c r="L182" s="0" t="n">
        <v>0.662087229992552</v>
      </c>
      <c r="N182" s="0" t="n">
        <v>194561</v>
      </c>
      <c r="O182" s="0" t="n">
        <v>55373</v>
      </c>
      <c r="P182" s="0" t="n">
        <v>12083</v>
      </c>
      <c r="Q182" s="0" t="s">
        <v>43</v>
      </c>
      <c r="R182" s="0" t="n">
        <v>0.873</v>
      </c>
      <c r="S182" s="0" t="n">
        <v>0.001</v>
      </c>
      <c r="T182" s="0" t="s">
        <v>34</v>
      </c>
      <c r="U182" s="0" t="n">
        <v>0.2946</v>
      </c>
      <c r="V182" s="0" t="s">
        <v>372</v>
      </c>
      <c r="W182" s="4" t="s">
        <v>113</v>
      </c>
      <c r="X182" s="4" t="s">
        <v>267</v>
      </c>
      <c r="Y182" s="4" t="s">
        <v>395</v>
      </c>
      <c r="AA182" s="0" t="s">
        <v>514</v>
      </c>
      <c r="AB182" s="0" t="n">
        <f aca="false">FALSE()</f>
        <v>0</v>
      </c>
      <c r="AC182" s="0" t="s">
        <v>514</v>
      </c>
      <c r="AD182" s="4" t="s">
        <v>122</v>
      </c>
      <c r="AE182" s="4" t="s">
        <v>515</v>
      </c>
    </row>
    <row r="183" customFormat="false" ht="15" hidden="false" customHeight="false" outlineLevel="0" collapsed="false">
      <c r="A183" s="0" t="s">
        <v>31</v>
      </c>
      <c r="B183" s="0" t="n">
        <v>24800</v>
      </c>
      <c r="C183" s="0" t="n">
        <v>30800</v>
      </c>
      <c r="D183" s="0" t="s">
        <v>32</v>
      </c>
      <c r="E183" s="0" t="s">
        <v>33</v>
      </c>
      <c r="F183" s="0" t="n">
        <v>16.1</v>
      </c>
      <c r="G183" s="0" t="n">
        <v>0.233</v>
      </c>
      <c r="H183" s="0" t="n">
        <v>0.028</v>
      </c>
      <c r="I183" s="0" t="n">
        <v>0.9723</v>
      </c>
      <c r="J183" s="0" t="n">
        <v>0.131295596894133</v>
      </c>
      <c r="K183" s="0" t="n">
        <v>2.75147400393068</v>
      </c>
      <c r="L183" s="0" t="n">
        <v>41.231593038822</v>
      </c>
      <c r="M183" s="0" t="n">
        <v>23.4042553191489</v>
      </c>
      <c r="N183" s="0" t="n">
        <v>85258</v>
      </c>
      <c r="O183" s="0" t="n">
        <v>11194</v>
      </c>
      <c r="P183" s="0" t="n">
        <v>747</v>
      </c>
      <c r="Q183" s="0" t="n">
        <v>1316</v>
      </c>
      <c r="R183" s="0" t="n">
        <v>0.444</v>
      </c>
      <c r="S183" s="0" t="n">
        <v>0.019</v>
      </c>
      <c r="T183" s="0" t="s">
        <v>34</v>
      </c>
      <c r="U183" s="0" t="n">
        <v>0.4493</v>
      </c>
      <c r="V183" s="0" t="s">
        <v>372</v>
      </c>
      <c r="W183" s="4" t="s">
        <v>113</v>
      </c>
      <c r="X183" s="4" t="s">
        <v>267</v>
      </c>
      <c r="Y183" s="4" t="s">
        <v>395</v>
      </c>
      <c r="AA183" s="0" t="s">
        <v>516</v>
      </c>
      <c r="AB183" s="0" t="n">
        <f aca="false">TRUE()</f>
        <v>1</v>
      </c>
      <c r="AC183" s="4" t="s">
        <v>517</v>
      </c>
      <c r="AD183" s="4" t="s">
        <v>376</v>
      </c>
      <c r="AE183" s="4" t="s">
        <v>518</v>
      </c>
    </row>
    <row r="184" customFormat="false" ht="15" hidden="false" customHeight="false" outlineLevel="0" collapsed="false">
      <c r="A184" s="0" t="s">
        <v>31</v>
      </c>
      <c r="B184" s="0" t="n">
        <v>30000</v>
      </c>
      <c r="C184" s="0" t="n">
        <v>30000</v>
      </c>
      <c r="D184" s="0" t="s">
        <v>39</v>
      </c>
      <c r="E184" s="0" t="s">
        <v>44</v>
      </c>
      <c r="F184" s="0" t="n">
        <v>8.4</v>
      </c>
      <c r="G184" s="0" t="n">
        <v>0.323</v>
      </c>
      <c r="H184" s="0" t="n">
        <v>0.067</v>
      </c>
      <c r="I184" s="0" t="n">
        <v>0.7886</v>
      </c>
      <c r="J184" s="0" t="n">
        <v>0.197073744248583</v>
      </c>
      <c r="K184" s="0" t="n">
        <v>0.309645455952934</v>
      </c>
      <c r="L184" s="0" t="n">
        <v>10.3092783505155</v>
      </c>
      <c r="M184" s="0" t="n">
        <v>33.5570469798658</v>
      </c>
      <c r="N184" s="0" t="n">
        <v>491618</v>
      </c>
      <c r="O184" s="0" t="n">
        <v>96885</v>
      </c>
      <c r="P184" s="0" t="n">
        <v>2910</v>
      </c>
      <c r="Q184" s="0" t="n">
        <v>894</v>
      </c>
      <c r="R184" s="0" t="n">
        <v>0.944</v>
      </c>
      <c r="S184" s="0" t="n">
        <v>0.001</v>
      </c>
      <c r="T184" s="0" t="s">
        <v>34</v>
      </c>
      <c r="U184" s="0" t="n">
        <v>0.2851</v>
      </c>
      <c r="AA184" s="0" t="s">
        <v>328</v>
      </c>
      <c r="AB184" s="0" t="n">
        <f aca="false">FALSE()</f>
        <v>0</v>
      </c>
      <c r="AC184" s="4" t="s">
        <v>329</v>
      </c>
      <c r="AD184" s="4" t="s">
        <v>54</v>
      </c>
      <c r="AE184" s="4" t="s">
        <v>477</v>
      </c>
    </row>
    <row r="185" customFormat="false" ht="15" hidden="false" customHeight="false" outlineLevel="0" collapsed="false">
      <c r="AD185" s="4" t="s">
        <v>122</v>
      </c>
      <c r="AE185" s="4" t="s">
        <v>123</v>
      </c>
    </row>
    <row r="186" customFormat="false" ht="15" hidden="false" customHeight="false" outlineLevel="0" collapsed="false">
      <c r="A186" s="0" t="s">
        <v>31</v>
      </c>
      <c r="B186" s="0" t="n">
        <v>23000</v>
      </c>
      <c r="C186" s="0" t="n">
        <v>25000</v>
      </c>
      <c r="D186" s="0" t="s">
        <v>39</v>
      </c>
      <c r="E186" s="0" t="s">
        <v>44</v>
      </c>
      <c r="F186" s="0" t="n">
        <v>8.7</v>
      </c>
      <c r="G186" s="0" t="n">
        <v>0.468</v>
      </c>
      <c r="H186" s="0" t="n">
        <v>0.032</v>
      </c>
      <c r="I186" s="0" t="n">
        <v>0.9211</v>
      </c>
      <c r="J186" s="0" t="n">
        <v>0.226294256263463</v>
      </c>
      <c r="K186" s="0" t="n">
        <v>0.798568964415767</v>
      </c>
      <c r="L186" s="0" t="n">
        <v>12.8865979381443</v>
      </c>
      <c r="M186" s="0" t="n">
        <v>543.478260869565</v>
      </c>
      <c r="N186" s="0" t="n">
        <v>138342</v>
      </c>
      <c r="O186" s="0" t="n">
        <v>31306</v>
      </c>
      <c r="P186" s="0" t="n">
        <v>1940</v>
      </c>
      <c r="Q186" s="0" t="n">
        <v>46</v>
      </c>
      <c r="R186" s="0" t="n">
        <v>0.388</v>
      </c>
      <c r="S186" s="0" t="n">
        <v>0.014</v>
      </c>
      <c r="T186" s="0" t="s">
        <v>34</v>
      </c>
      <c r="U186" s="0" t="s">
        <v>34</v>
      </c>
      <c r="AA186" s="0" t="s">
        <v>519</v>
      </c>
      <c r="AB186" s="0" t="n">
        <f aca="false">FALSE()</f>
        <v>0</v>
      </c>
      <c r="AC186" s="4" t="s">
        <v>520</v>
      </c>
      <c r="AD186" s="4" t="s">
        <v>133</v>
      </c>
      <c r="AE186" s="4" t="s">
        <v>521</v>
      </c>
    </row>
    <row r="187" customFormat="false" ht="15" hidden="false" customHeight="false" outlineLevel="0" collapsed="false">
      <c r="A187" s="0" t="s">
        <v>31</v>
      </c>
      <c r="B187" s="0" t="n">
        <v>15000</v>
      </c>
      <c r="C187" s="0" t="n">
        <v>20000</v>
      </c>
      <c r="D187" s="0" t="s">
        <v>32</v>
      </c>
      <c r="E187" s="0" t="s">
        <v>33</v>
      </c>
      <c r="F187" s="0" t="n">
        <v>45</v>
      </c>
      <c r="G187" s="0" t="n">
        <v>0.359</v>
      </c>
      <c r="H187" s="0" t="n">
        <v>0.03</v>
      </c>
      <c r="I187" s="0" t="n">
        <v>0.9418</v>
      </c>
      <c r="J187" s="0" t="n">
        <v>0.148440700304558</v>
      </c>
      <c r="K187" s="0" t="n">
        <v>1.19983202351671</v>
      </c>
      <c r="L187" s="0" t="n">
        <v>21.2089077412513</v>
      </c>
      <c r="M187" s="0" t="n">
        <v>125.786163522013</v>
      </c>
      <c r="N187" s="0" t="n">
        <v>112294</v>
      </c>
      <c r="O187" s="0" t="n">
        <v>16669</v>
      </c>
      <c r="P187" s="0" t="n">
        <v>943</v>
      </c>
      <c r="Q187" s="0" t="n">
        <v>159</v>
      </c>
      <c r="R187" s="0" t="n">
        <v>0.436</v>
      </c>
      <c r="S187" s="0" t="n">
        <v>0.006</v>
      </c>
      <c r="T187" s="0" t="s">
        <v>34</v>
      </c>
      <c r="U187" s="0" t="s">
        <v>34</v>
      </c>
      <c r="AA187" s="0" t="s">
        <v>328</v>
      </c>
      <c r="AB187" s="0" t="n">
        <f aca="false">FALSE()</f>
        <v>0</v>
      </c>
      <c r="AC187" s="4" t="s">
        <v>329</v>
      </c>
      <c r="AD187" s="4" t="s">
        <v>54</v>
      </c>
      <c r="AE187" s="4" t="s">
        <v>429</v>
      </c>
    </row>
    <row r="188" customFormat="false" ht="15" hidden="false" customHeight="false" outlineLevel="0" collapsed="false">
      <c r="A188" s="0" t="s">
        <v>31</v>
      </c>
      <c r="B188" s="0" t="n">
        <v>6000</v>
      </c>
      <c r="C188" s="0" t="n">
        <v>7500</v>
      </c>
      <c r="D188" s="0" t="s">
        <v>39</v>
      </c>
      <c r="E188" s="0" t="s">
        <v>44</v>
      </c>
      <c r="F188" s="0" t="n">
        <v>8</v>
      </c>
      <c r="G188" s="0" t="n">
        <v>0.462</v>
      </c>
      <c r="H188" s="0" t="n">
        <v>0.029</v>
      </c>
      <c r="I188" s="0" t="n">
        <v>0.8321</v>
      </c>
      <c r="J188" s="0" t="n">
        <v>0.1560278246637</v>
      </c>
      <c r="K188" s="0" t="n">
        <v>1.22930667103753</v>
      </c>
      <c r="L188" s="0" t="n">
        <v>5.13698630136986</v>
      </c>
      <c r="M188" s="0" t="n">
        <v>1500</v>
      </c>
      <c r="N188" s="0" t="n">
        <v>39102</v>
      </c>
      <c r="O188" s="0" t="n">
        <v>6101</v>
      </c>
      <c r="P188" s="0" t="n">
        <v>1460</v>
      </c>
      <c r="Q188" s="0" t="n">
        <v>5</v>
      </c>
      <c r="R188" s="0" t="n">
        <v>0.576</v>
      </c>
      <c r="S188" s="0" t="n">
        <v>0.008</v>
      </c>
      <c r="T188" s="0" t="s">
        <v>34</v>
      </c>
      <c r="U188" s="0" t="s">
        <v>34</v>
      </c>
      <c r="AA188" s="0" t="s">
        <v>522</v>
      </c>
      <c r="AB188" s="0" t="n">
        <f aca="false">FALSE()</f>
        <v>0</v>
      </c>
      <c r="AC188" s="4" t="s">
        <v>523</v>
      </c>
      <c r="AD188" s="4" t="s">
        <v>133</v>
      </c>
      <c r="AE188" s="4" t="s">
        <v>524</v>
      </c>
    </row>
    <row r="189" customFormat="false" ht="15" hidden="false" customHeight="false" outlineLevel="0" collapsed="false">
      <c r="A189" s="0" t="s">
        <v>31</v>
      </c>
      <c r="B189" s="0" t="n">
        <v>40000</v>
      </c>
      <c r="C189" s="0" t="n">
        <v>40000</v>
      </c>
      <c r="D189" s="0" t="s">
        <v>98</v>
      </c>
      <c r="E189" s="0" t="s">
        <v>59</v>
      </c>
      <c r="F189" s="0" t="n">
        <v>57</v>
      </c>
      <c r="G189" s="0" t="n">
        <v>0.345</v>
      </c>
      <c r="H189" s="0" t="n">
        <v>0.069</v>
      </c>
      <c r="I189" s="0" t="n">
        <v>0.902</v>
      </c>
      <c r="J189" s="0" t="n">
        <v>0.363718172001178</v>
      </c>
      <c r="K189" s="0" t="n">
        <v>0.19993102379679</v>
      </c>
      <c r="L189" s="0" t="n">
        <v>2.42248062015504</v>
      </c>
      <c r="M189" s="0" t="n">
        <v>47.4495848161329</v>
      </c>
      <c r="N189" s="0" t="n">
        <v>550066</v>
      </c>
      <c r="O189" s="0" t="n">
        <v>200069</v>
      </c>
      <c r="P189" s="0" t="n">
        <v>16512</v>
      </c>
      <c r="Q189" s="0" t="n">
        <v>843</v>
      </c>
      <c r="R189" s="0" t="n">
        <v>0.912</v>
      </c>
      <c r="S189" s="0" t="n">
        <v>0</v>
      </c>
      <c r="T189" s="0" t="s">
        <v>34</v>
      </c>
      <c r="U189" s="0" t="n">
        <v>0.1765</v>
      </c>
      <c r="V189" s="0" t="s">
        <v>313</v>
      </c>
      <c r="W189" s="4" t="s">
        <v>113</v>
      </c>
      <c r="X189" s="4" t="s">
        <v>114</v>
      </c>
      <c r="AA189" s="5" t="s">
        <v>525</v>
      </c>
      <c r="AB189" s="0" t="n">
        <f aca="false">TRUE()</f>
        <v>1</v>
      </c>
      <c r="AC189" s="6" t="s">
        <v>526</v>
      </c>
      <c r="AD189" s="4" t="s">
        <v>496</v>
      </c>
      <c r="AE189" s="4" t="s">
        <v>527</v>
      </c>
    </row>
    <row r="190" customFormat="false" ht="15" hidden="false" customHeight="false" outlineLevel="0" collapsed="false">
      <c r="A190" s="0" t="s">
        <v>31</v>
      </c>
      <c r="B190" s="0" t="n">
        <v>25000</v>
      </c>
      <c r="C190" s="0" t="n">
        <v>38000</v>
      </c>
      <c r="D190" s="0" t="s">
        <v>32</v>
      </c>
      <c r="E190" s="0" t="s">
        <v>33</v>
      </c>
      <c r="F190" s="0" t="n">
        <v>46.7</v>
      </c>
      <c r="G190" s="0" t="n">
        <v>0.401</v>
      </c>
      <c r="H190" s="0" t="n">
        <v>0.025</v>
      </c>
      <c r="I190" s="0" t="n">
        <v>0.964</v>
      </c>
      <c r="J190" s="0" t="n">
        <v>0.129025094381523</v>
      </c>
      <c r="K190" s="0" t="n">
        <v>4.36029833620195</v>
      </c>
      <c r="L190" s="0" t="n">
        <v>45.4545454545455</v>
      </c>
      <c r="M190" s="0" t="n">
        <v>95</v>
      </c>
      <c r="N190" s="0" t="n">
        <v>67545</v>
      </c>
      <c r="O190" s="0" t="n">
        <v>8715</v>
      </c>
      <c r="P190" s="0" t="n">
        <v>836</v>
      </c>
      <c r="Q190" s="0" t="n">
        <v>400</v>
      </c>
      <c r="R190" s="0" t="n">
        <v>0.367</v>
      </c>
      <c r="S190" s="0" t="n">
        <v>0.029</v>
      </c>
      <c r="T190" s="0" t="s">
        <v>34</v>
      </c>
      <c r="U190" s="0" t="s">
        <v>34</v>
      </c>
      <c r="AA190" s="0" t="s">
        <v>328</v>
      </c>
      <c r="AB190" s="0" t="n">
        <f aca="false">FALSE()</f>
        <v>0</v>
      </c>
      <c r="AC190" s="4" t="s">
        <v>329</v>
      </c>
      <c r="AD190" s="4" t="s">
        <v>54</v>
      </c>
      <c r="AE190" s="4" t="s">
        <v>528</v>
      </c>
    </row>
    <row r="191" customFormat="false" ht="15" hidden="false" customHeight="false" outlineLevel="0" collapsed="false">
      <c r="A191" s="0" t="s">
        <v>31</v>
      </c>
      <c r="B191" s="0" t="n">
        <v>29000</v>
      </c>
      <c r="C191" s="0" t="n">
        <v>42000</v>
      </c>
      <c r="D191" s="0" t="s">
        <v>39</v>
      </c>
      <c r="E191" s="0" t="s">
        <v>59</v>
      </c>
      <c r="F191" s="0" t="n">
        <v>99.1</v>
      </c>
      <c r="G191" s="0" t="n">
        <v>0.299</v>
      </c>
      <c r="H191" s="0" t="n">
        <v>0.056</v>
      </c>
      <c r="I191" s="0" t="n">
        <v>0.8837</v>
      </c>
      <c r="J191" s="0" t="n">
        <v>0.262371436360482</v>
      </c>
      <c r="K191" s="0" t="n">
        <v>0.264485292728544</v>
      </c>
      <c r="L191" s="0" t="n">
        <v>3.99695470118005</v>
      </c>
      <c r="M191" s="0" t="n">
        <v>19.4174757281553</v>
      </c>
      <c r="N191" s="0" t="n">
        <v>605245</v>
      </c>
      <c r="O191" s="0" t="n">
        <v>158799</v>
      </c>
      <c r="P191" s="0" t="n">
        <v>10508</v>
      </c>
      <c r="Q191" s="0" t="n">
        <v>2163</v>
      </c>
      <c r="R191" s="0" t="n">
        <v>0.835</v>
      </c>
      <c r="S191" s="0" t="n">
        <v>0</v>
      </c>
      <c r="T191" s="0" t="s">
        <v>34</v>
      </c>
      <c r="U191" s="0" t="n">
        <v>0.5873</v>
      </c>
      <c r="AA191" s="4" t="s">
        <v>218</v>
      </c>
      <c r="AB191" s="0" t="n">
        <f aca="false">FALSE()</f>
        <v>0</v>
      </c>
      <c r="AC191" s="4" t="s">
        <v>218</v>
      </c>
      <c r="AD191" s="4" t="s">
        <v>122</v>
      </c>
      <c r="AE191" s="4" t="s">
        <v>529</v>
      </c>
    </row>
    <row r="192" customFormat="false" ht="15" hidden="false" customHeight="false" outlineLevel="0" collapsed="false">
      <c r="A192" s="0" t="s">
        <v>31</v>
      </c>
      <c r="B192" s="0" t="n">
        <v>35000</v>
      </c>
      <c r="C192" s="0" t="n">
        <v>55000</v>
      </c>
      <c r="D192" s="0" t="s">
        <v>32</v>
      </c>
      <c r="E192" s="0" t="s">
        <v>33</v>
      </c>
      <c r="F192" s="0" t="n">
        <v>16.7</v>
      </c>
      <c r="G192" s="0" t="n">
        <v>0.296</v>
      </c>
      <c r="H192" s="0" t="n">
        <v>0.056</v>
      </c>
      <c r="I192" s="0" t="n">
        <v>0.9293</v>
      </c>
      <c r="J192" s="0" t="n">
        <v>0.190160249155043</v>
      </c>
      <c r="K192" s="0" t="n">
        <v>2.25761431737953</v>
      </c>
      <c r="L192" s="0" t="n">
        <v>18.0861558697797</v>
      </c>
      <c r="M192" s="0" t="n">
        <v>47.7016478751084</v>
      </c>
      <c r="N192" s="0" t="n">
        <v>128113</v>
      </c>
      <c r="O192" s="0" t="n">
        <v>24362</v>
      </c>
      <c r="P192" s="0" t="n">
        <v>3041</v>
      </c>
      <c r="Q192" s="0" t="n">
        <v>1153</v>
      </c>
      <c r="R192" s="0" t="n">
        <v>0.925</v>
      </c>
      <c r="S192" s="0" t="n">
        <v>0.008</v>
      </c>
      <c r="T192" s="0" t="s">
        <v>34</v>
      </c>
      <c r="U192" s="0" t="n">
        <v>0.2255</v>
      </c>
      <c r="AA192" s="4" t="s">
        <v>218</v>
      </c>
      <c r="AB192" s="0" t="n">
        <f aca="false">FALSE()</f>
        <v>0</v>
      </c>
      <c r="AC192" s="4" t="s">
        <v>218</v>
      </c>
      <c r="AD192" s="4" t="s">
        <v>122</v>
      </c>
      <c r="AE192" s="4" t="s">
        <v>530</v>
      </c>
    </row>
    <row r="193" customFormat="false" ht="15" hidden="false" customHeight="false" outlineLevel="0" collapsed="false">
      <c r="A193" s="0" t="s">
        <v>31</v>
      </c>
      <c r="B193" s="0" t="n">
        <v>22000</v>
      </c>
      <c r="C193" s="0" t="n">
        <v>29800</v>
      </c>
      <c r="D193" s="0" t="s">
        <v>32</v>
      </c>
      <c r="E193" s="0" t="s">
        <v>33</v>
      </c>
      <c r="F193" s="0" t="n">
        <v>10.5</v>
      </c>
      <c r="G193" s="0" t="n">
        <v>0.281</v>
      </c>
      <c r="H193" s="0" t="n">
        <v>0.066</v>
      </c>
      <c r="I193" s="0" t="n">
        <v>0.9294</v>
      </c>
      <c r="J193" s="0" t="n">
        <v>0.233583082417198</v>
      </c>
      <c r="K193" s="0" t="n">
        <v>1.7866778583848</v>
      </c>
      <c r="L193" s="0" t="n">
        <v>11.4969135802469</v>
      </c>
      <c r="M193" s="0" t="n">
        <v>3.17764981872467</v>
      </c>
      <c r="N193" s="0" t="n">
        <v>71405</v>
      </c>
      <c r="O193" s="0" t="n">
        <v>16679</v>
      </c>
      <c r="P193" s="0" t="n">
        <v>2592</v>
      </c>
      <c r="Q193" s="0" t="n">
        <v>9378</v>
      </c>
      <c r="R193" s="0" t="n">
        <v>0.676</v>
      </c>
      <c r="S193" s="0" t="n">
        <v>0.248</v>
      </c>
      <c r="T193" s="0" t="s">
        <v>34</v>
      </c>
      <c r="U193" s="0" t="s">
        <v>34</v>
      </c>
      <c r="AA193" s="0" t="s">
        <v>324</v>
      </c>
      <c r="AB193" s="0" t="n">
        <f aca="false">FALSE()</f>
        <v>0</v>
      </c>
      <c r="AC193" s="4" t="s">
        <v>325</v>
      </c>
      <c r="AD193" s="4" t="s">
        <v>326</v>
      </c>
      <c r="AE193" s="4" t="s">
        <v>327</v>
      </c>
    </row>
    <row r="194" customFormat="false" ht="15" hidden="false" customHeight="false" outlineLevel="0" collapsed="false">
      <c r="A194" s="0" t="s">
        <v>31</v>
      </c>
      <c r="B194" s="0" t="n">
        <v>12000</v>
      </c>
      <c r="C194" s="0" t="n">
        <v>16800</v>
      </c>
      <c r="D194" s="0" t="s">
        <v>39</v>
      </c>
      <c r="E194" s="0" t="s">
        <v>44</v>
      </c>
      <c r="F194" s="0" t="n">
        <v>4.2</v>
      </c>
      <c r="G194" s="0" t="n">
        <v>0.292</v>
      </c>
      <c r="H194" s="0" t="n">
        <v>0.074</v>
      </c>
      <c r="I194" s="0" t="n">
        <v>0.9312</v>
      </c>
      <c r="J194" s="0" t="n">
        <v>0.205397170837867</v>
      </c>
      <c r="K194" s="0" t="n">
        <v>1.78003814367451</v>
      </c>
      <c r="L194" s="0" t="n">
        <v>13.6696501220504</v>
      </c>
      <c r="M194" s="0" t="n">
        <v>101.204819277108</v>
      </c>
      <c r="N194" s="0" t="n">
        <v>45950</v>
      </c>
      <c r="O194" s="0" t="n">
        <v>9438</v>
      </c>
      <c r="P194" s="0" t="n">
        <v>1229</v>
      </c>
      <c r="Q194" s="0" t="n">
        <v>166</v>
      </c>
      <c r="R194" s="0" t="n">
        <v>0.91</v>
      </c>
      <c r="S194" s="0" t="n">
        <v>0.015</v>
      </c>
      <c r="T194" s="0" t="s">
        <v>34</v>
      </c>
      <c r="U194" s="0" t="n">
        <v>0.0529</v>
      </c>
      <c r="AA194" s="0" t="s">
        <v>324</v>
      </c>
      <c r="AB194" s="0" t="n">
        <f aca="false">FALSE()</f>
        <v>0</v>
      </c>
      <c r="AC194" s="4" t="s">
        <v>325</v>
      </c>
      <c r="AD194" s="4" t="s">
        <v>326</v>
      </c>
      <c r="AE194" s="4" t="s">
        <v>327</v>
      </c>
    </row>
    <row r="195" customFormat="false" ht="15" hidden="false" customHeight="false" outlineLevel="0" collapsed="false">
      <c r="A195" s="0" t="s">
        <v>31</v>
      </c>
      <c r="B195" s="0" t="n">
        <v>16000</v>
      </c>
      <c r="C195" s="0" t="n">
        <v>18000</v>
      </c>
      <c r="D195" s="0" t="s">
        <v>32</v>
      </c>
      <c r="E195" s="0" t="s">
        <v>33</v>
      </c>
      <c r="F195" s="0" t="n">
        <v>11.6</v>
      </c>
      <c r="G195" s="0" t="n">
        <v>0.246</v>
      </c>
      <c r="H195" s="0" t="n">
        <v>0.08</v>
      </c>
      <c r="I195" s="0" t="n">
        <v>0.8504</v>
      </c>
      <c r="J195" s="0" t="n">
        <v>0.255541477814496</v>
      </c>
      <c r="K195" s="0" t="n">
        <v>0.920057248006543</v>
      </c>
      <c r="L195" s="0" t="n">
        <v>10.2974828375286</v>
      </c>
      <c r="M195" s="0" t="n">
        <v>94.2408376963351</v>
      </c>
      <c r="N195" s="0" t="n">
        <v>76559</v>
      </c>
      <c r="O195" s="0" t="n">
        <v>19564</v>
      </c>
      <c r="P195" s="0" t="n">
        <v>1748</v>
      </c>
      <c r="Q195" s="0" t="n">
        <v>191</v>
      </c>
      <c r="R195" s="0" t="n">
        <v>0.874</v>
      </c>
      <c r="S195" s="0" t="n">
        <v>0.017</v>
      </c>
      <c r="T195" s="0" t="s">
        <v>34</v>
      </c>
      <c r="U195" s="0" t="n">
        <v>0.5238</v>
      </c>
      <c r="V195" s="0" t="s">
        <v>313</v>
      </c>
      <c r="W195" s="4" t="s">
        <v>113</v>
      </c>
      <c r="X195" s="4" t="s">
        <v>114</v>
      </c>
      <c r="Z195" s="5" t="s">
        <v>531</v>
      </c>
      <c r="AA195" s="0" t="s">
        <v>532</v>
      </c>
      <c r="AB195" s="0" t="n">
        <f aca="false">FALSE()</f>
        <v>0</v>
      </c>
      <c r="AC195" s="0" t="s">
        <v>532</v>
      </c>
      <c r="AD195" s="4" t="s">
        <v>122</v>
      </c>
      <c r="AE195" s="4" t="s">
        <v>533</v>
      </c>
    </row>
    <row r="196" customFormat="false" ht="15" hidden="false" customHeight="false" outlineLevel="0" collapsed="false">
      <c r="AD196" s="4" t="s">
        <v>122</v>
      </c>
      <c r="AE196" s="4" t="s">
        <v>123</v>
      </c>
    </row>
    <row r="197" customFormat="false" ht="15" hidden="false" customHeight="false" outlineLevel="0" collapsed="false">
      <c r="A197" s="0" t="s">
        <v>31</v>
      </c>
      <c r="B197" s="0" t="n">
        <v>20800</v>
      </c>
      <c r="C197" s="0" t="n">
        <v>26800</v>
      </c>
      <c r="D197" s="0" t="s">
        <v>39</v>
      </c>
      <c r="E197" s="0" t="s">
        <v>33</v>
      </c>
      <c r="F197" s="0" t="n">
        <v>24.8</v>
      </c>
      <c r="G197" s="0" t="n">
        <v>0.34</v>
      </c>
      <c r="H197" s="0" t="n">
        <v>0.068</v>
      </c>
      <c r="I197" s="0" t="n">
        <v>0.754</v>
      </c>
      <c r="J197" s="0" t="n">
        <v>0.140432337445662</v>
      </c>
      <c r="K197" s="0" t="n">
        <v>0.628002343292326</v>
      </c>
      <c r="L197" s="0" t="n">
        <v>14.5810663764962</v>
      </c>
      <c r="N197" s="0" t="n">
        <v>303883</v>
      </c>
      <c r="O197" s="0" t="n">
        <v>42675</v>
      </c>
      <c r="P197" s="0" t="n">
        <v>1838</v>
      </c>
      <c r="Q197" s="0" t="s">
        <v>43</v>
      </c>
      <c r="R197" s="0" t="n">
        <v>0.869</v>
      </c>
      <c r="S197" s="0" t="n">
        <v>0.013</v>
      </c>
      <c r="T197" s="0" t="s">
        <v>34</v>
      </c>
      <c r="U197" s="0" t="n">
        <v>0.2113</v>
      </c>
      <c r="AA197" s="0" t="s">
        <v>534</v>
      </c>
      <c r="AB197" s="0" t="n">
        <f aca="false">FALSE()</f>
        <v>0</v>
      </c>
      <c r="AC197" s="4" t="s">
        <v>535</v>
      </c>
      <c r="AD197" s="4" t="s">
        <v>87</v>
      </c>
      <c r="AE197" s="4" t="s">
        <v>536</v>
      </c>
    </row>
    <row r="198" customFormat="false" ht="15" hidden="false" customHeight="false" outlineLevel="0" collapsed="false">
      <c r="A198" s="0" t="s">
        <v>31</v>
      </c>
      <c r="B198" s="0" t="n">
        <v>29000</v>
      </c>
      <c r="C198" s="0" t="n">
        <v>36000</v>
      </c>
      <c r="D198" s="0" t="s">
        <v>98</v>
      </c>
      <c r="E198" s="0" t="s">
        <v>59</v>
      </c>
      <c r="F198" s="0" t="n">
        <v>65.9</v>
      </c>
      <c r="G198" s="0" t="n">
        <v>0.44</v>
      </c>
      <c r="H198" s="0" t="n">
        <v>0.047</v>
      </c>
      <c r="I198" s="0" t="n">
        <v>0.9206</v>
      </c>
      <c r="J198" s="0" t="n">
        <v>0.157582376980437</v>
      </c>
      <c r="K198" s="0" t="n">
        <v>0.176585715196672</v>
      </c>
      <c r="L198" s="0" t="n">
        <v>4.59359448768662</v>
      </c>
      <c r="M198" s="0" t="n">
        <v>0.0833925961273405</v>
      </c>
      <c r="N198" s="0" t="n">
        <v>1293717</v>
      </c>
      <c r="O198" s="0" t="n">
        <v>203867</v>
      </c>
      <c r="P198" s="0" t="n">
        <v>7837</v>
      </c>
      <c r="Q198" s="0" t="n">
        <v>431693</v>
      </c>
      <c r="R198" s="0" t="n">
        <v>0.87</v>
      </c>
      <c r="S198" s="0" t="n">
        <v>0.026</v>
      </c>
      <c r="T198" s="0" t="s">
        <v>34</v>
      </c>
      <c r="U198" s="0" t="n">
        <v>0.8286</v>
      </c>
      <c r="AA198" s="4" t="s">
        <v>218</v>
      </c>
      <c r="AB198" s="0" t="n">
        <f aca="false">FALSE()</f>
        <v>0</v>
      </c>
      <c r="AC198" s="4" t="s">
        <v>218</v>
      </c>
      <c r="AD198" s="4" t="s">
        <v>122</v>
      </c>
      <c r="AE198" s="4" t="s">
        <v>537</v>
      </c>
    </row>
    <row r="199" customFormat="false" ht="15" hidden="false" customHeight="false" outlineLevel="0" collapsed="false">
      <c r="A199" s="0" t="s">
        <v>31</v>
      </c>
      <c r="B199" s="0" t="n">
        <v>14000</v>
      </c>
      <c r="C199" s="0" t="n">
        <v>29000</v>
      </c>
      <c r="D199" s="0" t="s">
        <v>98</v>
      </c>
      <c r="E199" s="0" t="s">
        <v>44</v>
      </c>
      <c r="F199" s="0" t="n">
        <v>8.5</v>
      </c>
      <c r="G199" s="0" t="n">
        <v>0.34</v>
      </c>
      <c r="H199" s="0" t="n">
        <v>0.066</v>
      </c>
      <c r="I199" s="0" t="n">
        <v>0.8229</v>
      </c>
      <c r="J199" s="0" t="n">
        <v>0.229815892245158</v>
      </c>
      <c r="K199" s="0" t="n">
        <v>0.718373008992048</v>
      </c>
      <c r="L199" s="0" t="n">
        <v>8.04438280166436</v>
      </c>
      <c r="M199" s="0" t="n">
        <v>116</v>
      </c>
      <c r="N199" s="0" t="n">
        <v>175658</v>
      </c>
      <c r="O199" s="0" t="n">
        <v>40369</v>
      </c>
      <c r="P199" s="0" t="n">
        <v>3605</v>
      </c>
      <c r="Q199" s="0" t="n">
        <v>250</v>
      </c>
      <c r="R199" s="0" t="n">
        <v>0.954</v>
      </c>
      <c r="S199" s="0" t="n">
        <v>0.009</v>
      </c>
      <c r="T199" s="0" t="s">
        <v>34</v>
      </c>
      <c r="U199" s="0" t="n">
        <v>0.6417</v>
      </c>
      <c r="AA199" s="0" t="s">
        <v>538</v>
      </c>
      <c r="AB199" s="0" t="n">
        <f aca="false">FALSE()</f>
        <v>0</v>
      </c>
      <c r="AC199" s="4" t="s">
        <v>539</v>
      </c>
      <c r="AD199" s="4" t="s">
        <v>122</v>
      </c>
      <c r="AE199" s="4" t="s">
        <v>540</v>
      </c>
    </row>
    <row r="200" customFormat="false" ht="15" hidden="false" customHeight="false" outlineLevel="0" collapsed="false">
      <c r="A200" s="0" t="s">
        <v>31</v>
      </c>
      <c r="B200" s="0" t="n">
        <v>15000</v>
      </c>
      <c r="C200" s="0" t="n">
        <v>26000</v>
      </c>
      <c r="D200" s="0" t="s">
        <v>98</v>
      </c>
      <c r="E200" s="0" t="s">
        <v>44</v>
      </c>
      <c r="F200" s="0" t="n">
        <v>5.5</v>
      </c>
      <c r="G200" s="0" t="n">
        <v>0.328</v>
      </c>
      <c r="H200" s="0" t="n">
        <v>0.063</v>
      </c>
      <c r="I200" s="0" t="n">
        <v>0.8526</v>
      </c>
      <c r="J200" s="0" t="n">
        <v>0.673670758360659</v>
      </c>
      <c r="K200" s="0" t="n">
        <v>0.028135818086786</v>
      </c>
      <c r="L200" s="0" t="n">
        <v>1.18171075356786</v>
      </c>
      <c r="M200" s="0" t="n">
        <v>13.2788559754852</v>
      </c>
      <c r="N200" s="0" t="n">
        <v>1371722</v>
      </c>
      <c r="O200" s="0" t="n">
        <v>924089</v>
      </c>
      <c r="P200" s="0" t="n">
        <v>22002</v>
      </c>
      <c r="Q200" s="0" t="n">
        <v>1958</v>
      </c>
      <c r="R200" s="0" t="n">
        <v>0.96</v>
      </c>
      <c r="S200" s="0" t="n">
        <v>0.001</v>
      </c>
      <c r="T200" s="0" t="s">
        <v>34</v>
      </c>
      <c r="U200" s="0" t="n">
        <v>0.7031</v>
      </c>
      <c r="V200" s="0" t="s">
        <v>313</v>
      </c>
      <c r="W200" s="4" t="s">
        <v>113</v>
      </c>
      <c r="X200" s="4" t="s">
        <v>114</v>
      </c>
      <c r="AA200" s="0" t="s">
        <v>541</v>
      </c>
      <c r="AB200" s="0" t="n">
        <f aca="false">TRUE()</f>
        <v>1</v>
      </c>
      <c r="AC200" s="4" t="s">
        <v>542</v>
      </c>
      <c r="AD200" s="4" t="s">
        <v>376</v>
      </c>
      <c r="AE200" s="4" t="s">
        <v>543</v>
      </c>
    </row>
    <row r="201" customFormat="false" ht="15" hidden="false" customHeight="false" outlineLevel="0" collapsed="false">
      <c r="A201" s="0" t="s">
        <v>31</v>
      </c>
      <c r="B201" s="0" t="n">
        <v>10000</v>
      </c>
      <c r="C201" s="0" t="n">
        <v>15000</v>
      </c>
      <c r="D201" s="0" t="s">
        <v>39</v>
      </c>
      <c r="E201" s="0" t="s">
        <v>33</v>
      </c>
      <c r="F201" s="0" t="n">
        <v>10.8</v>
      </c>
      <c r="G201" s="0" t="n">
        <v>0.291</v>
      </c>
      <c r="H201" s="0" t="n">
        <v>0.035</v>
      </c>
      <c r="I201" s="0" t="n">
        <v>0.9219</v>
      </c>
      <c r="J201" s="0" t="n">
        <v>0.159516127598681</v>
      </c>
      <c r="K201" s="0" t="n">
        <v>0.835794283167103</v>
      </c>
      <c r="L201" s="0" t="n">
        <v>10.4239054899236</v>
      </c>
      <c r="N201" s="0" t="n">
        <v>112509</v>
      </c>
      <c r="O201" s="0" t="n">
        <v>17947</v>
      </c>
      <c r="P201" s="0" t="n">
        <v>1439</v>
      </c>
      <c r="Q201" s="0" t="s">
        <v>34</v>
      </c>
      <c r="R201" s="0" t="n">
        <v>0.8</v>
      </c>
      <c r="S201" s="0" t="n">
        <v>0.008</v>
      </c>
      <c r="T201" s="0" t="n">
        <v>0.1501</v>
      </c>
      <c r="U201" s="0" t="n">
        <v>0.6667</v>
      </c>
      <c r="AA201" s="0" t="s">
        <v>544</v>
      </c>
      <c r="AB201" s="0" t="n">
        <f aca="false">FALSE()</f>
        <v>0</v>
      </c>
      <c r="AC201" s="4" t="s">
        <v>545</v>
      </c>
      <c r="AD201" s="4" t="s">
        <v>133</v>
      </c>
      <c r="AE201" s="4" t="s">
        <v>546</v>
      </c>
    </row>
    <row r="202" customFormat="false" ht="15" hidden="false" customHeight="false" outlineLevel="0" collapsed="false">
      <c r="A202" s="0" t="s">
        <v>31</v>
      </c>
      <c r="B202" s="0" t="n">
        <v>15000</v>
      </c>
      <c r="C202" s="0" t="n">
        <v>20000</v>
      </c>
      <c r="D202" s="0" t="s">
        <v>39</v>
      </c>
      <c r="E202" s="0" t="s">
        <v>33</v>
      </c>
      <c r="F202" s="0" t="n">
        <v>13.4</v>
      </c>
      <c r="G202" s="0" t="n">
        <v>0.278</v>
      </c>
      <c r="H202" s="0" t="n">
        <v>0.065</v>
      </c>
      <c r="I202" s="0" t="n">
        <v>0.7562</v>
      </c>
      <c r="J202" s="0" t="n">
        <v>0.138288498419116</v>
      </c>
      <c r="K202" s="0" t="n">
        <v>7.49625187406297</v>
      </c>
      <c r="L202" s="0" t="n">
        <v>9.91571641051066</v>
      </c>
      <c r="M202" s="0" t="n">
        <v>22.5479143179256</v>
      </c>
      <c r="N202" s="0" t="n">
        <v>19293</v>
      </c>
      <c r="O202" s="0" t="n">
        <v>2668</v>
      </c>
      <c r="P202" s="0" t="n">
        <v>2017</v>
      </c>
      <c r="Q202" s="0" t="n">
        <v>887</v>
      </c>
      <c r="R202" s="0" t="n">
        <v>0.165</v>
      </c>
      <c r="S202" s="0" t="n">
        <v>0.035</v>
      </c>
      <c r="T202" s="0" t="s">
        <v>34</v>
      </c>
      <c r="U202" s="0" t="n">
        <v>0.4021</v>
      </c>
      <c r="AA202" s="0" t="s">
        <v>534</v>
      </c>
      <c r="AB202" s="0" t="n">
        <f aca="false">FALSE()</f>
        <v>0</v>
      </c>
      <c r="AC202" s="4" t="s">
        <v>535</v>
      </c>
      <c r="AD202" s="4" t="s">
        <v>87</v>
      </c>
      <c r="AE202" s="4" t="s">
        <v>547</v>
      </c>
    </row>
    <row r="203" customFormat="false" ht="15" hidden="false" customHeight="false" outlineLevel="0" collapsed="false">
      <c r="A203" s="0" t="s">
        <v>31</v>
      </c>
      <c r="B203" s="0" t="n">
        <v>66000</v>
      </c>
      <c r="C203" s="0" t="n">
        <v>106000</v>
      </c>
      <c r="D203" s="0" t="s">
        <v>39</v>
      </c>
      <c r="E203" s="0" t="s">
        <v>59</v>
      </c>
      <c r="F203" s="0" t="n">
        <v>88</v>
      </c>
      <c r="G203" s="0" t="n">
        <v>0.3</v>
      </c>
      <c r="H203" s="0" t="n">
        <v>0.044</v>
      </c>
      <c r="I203" s="0" t="n">
        <v>0.8778</v>
      </c>
      <c r="J203" s="0" t="n">
        <v>0.106790057614158</v>
      </c>
      <c r="K203" s="0" t="n">
        <v>0.298242060008553</v>
      </c>
      <c r="L203" s="0" t="n">
        <v>22.1757322175732</v>
      </c>
      <c r="M203" s="0" t="n">
        <v>7.25480802135377</v>
      </c>
      <c r="N203" s="0" t="n">
        <v>3328175</v>
      </c>
      <c r="O203" s="0" t="n">
        <v>355416</v>
      </c>
      <c r="P203" s="0" t="n">
        <v>4780</v>
      </c>
      <c r="Q203" s="0" t="n">
        <v>14611</v>
      </c>
      <c r="R203" s="0" t="n">
        <v>0.822</v>
      </c>
      <c r="S203" s="0" t="n">
        <v>0.011</v>
      </c>
      <c r="T203" s="0" t="s">
        <v>34</v>
      </c>
      <c r="U203" s="0" t="s">
        <v>34</v>
      </c>
      <c r="AA203" s="0" t="s">
        <v>548</v>
      </c>
      <c r="AB203" s="0" t="n">
        <f aca="false">FALSE()</f>
        <v>0</v>
      </c>
      <c r="AC203" s="4" t="s">
        <v>549</v>
      </c>
      <c r="AD203" s="4" t="s">
        <v>173</v>
      </c>
      <c r="AE203" s="4" t="s">
        <v>550</v>
      </c>
    </row>
    <row r="204" customFormat="false" ht="15" hidden="false" customHeight="false" outlineLevel="0" collapsed="false">
      <c r="A204" s="0" t="s">
        <v>31</v>
      </c>
      <c r="B204" s="0" t="n">
        <v>38400</v>
      </c>
      <c r="C204" s="0" t="n">
        <v>48000</v>
      </c>
      <c r="D204" s="0" t="s">
        <v>39</v>
      </c>
      <c r="E204" s="0" t="s">
        <v>99</v>
      </c>
      <c r="F204" s="0" t="n">
        <v>255.8</v>
      </c>
      <c r="G204" s="0" t="n">
        <v>0.28</v>
      </c>
      <c r="H204" s="0" t="n">
        <v>0.078</v>
      </c>
      <c r="I204" s="0" t="n">
        <v>0.8935</v>
      </c>
      <c r="J204" s="0" t="n">
        <v>0.251915065736362</v>
      </c>
      <c r="K204" s="0" t="n">
        <v>0.105286708869089</v>
      </c>
      <c r="L204" s="0" t="n">
        <v>0.66080204848635</v>
      </c>
      <c r="M204" s="0" t="n">
        <v>19.0854870775348</v>
      </c>
      <c r="N204" s="0" t="n">
        <v>1809729</v>
      </c>
      <c r="O204" s="0" t="n">
        <v>455898</v>
      </c>
      <c r="P204" s="0" t="n">
        <v>72639</v>
      </c>
      <c r="Q204" s="0" t="n">
        <v>2515</v>
      </c>
      <c r="R204" s="0" t="n">
        <v>0.811</v>
      </c>
      <c r="S204" s="0" t="n">
        <v>0.029</v>
      </c>
      <c r="T204" s="0" t="s">
        <v>34</v>
      </c>
      <c r="U204" s="0" t="n">
        <v>0.9063</v>
      </c>
      <c r="V204" s="0" t="s">
        <v>313</v>
      </c>
      <c r="W204" s="4" t="s">
        <v>113</v>
      </c>
      <c r="X204" s="4" t="s">
        <v>114</v>
      </c>
      <c r="AA204" s="0" t="s">
        <v>541</v>
      </c>
      <c r="AB204" s="0" t="n">
        <f aca="false">TRUE()</f>
        <v>1</v>
      </c>
      <c r="AC204" s="4" t="s">
        <v>542</v>
      </c>
      <c r="AD204" s="4" t="s">
        <v>376</v>
      </c>
      <c r="AE204" s="4" t="s">
        <v>551</v>
      </c>
    </row>
    <row r="205" customFormat="false" ht="15" hidden="false" customHeight="false" outlineLevel="0" collapsed="false">
      <c r="A205" s="0" t="s">
        <v>31</v>
      </c>
      <c r="B205" s="0" t="n">
        <v>20000</v>
      </c>
      <c r="C205" s="0" t="n">
        <v>23000</v>
      </c>
      <c r="D205" s="0" t="s">
        <v>39</v>
      </c>
      <c r="E205" s="0" t="s">
        <v>33</v>
      </c>
      <c r="F205" s="0" t="n">
        <v>10.4</v>
      </c>
      <c r="G205" s="0" t="n">
        <v>0.601</v>
      </c>
      <c r="H205" s="0" t="n">
        <v>0.028</v>
      </c>
      <c r="I205" s="0" t="n">
        <v>0.9677</v>
      </c>
      <c r="J205" s="0" t="n">
        <v>0.240009222256379</v>
      </c>
      <c r="K205" s="0" t="n">
        <v>2.45490447219554</v>
      </c>
      <c r="L205" s="0" t="n">
        <v>20.0698080279232</v>
      </c>
      <c r="M205" s="0" t="n">
        <v>255.555555555556</v>
      </c>
      <c r="N205" s="0" t="n">
        <v>39036</v>
      </c>
      <c r="O205" s="0" t="n">
        <v>9369</v>
      </c>
      <c r="P205" s="0" t="n">
        <v>1146</v>
      </c>
      <c r="Q205" s="0" t="n">
        <v>90</v>
      </c>
      <c r="R205" s="0" t="n">
        <v>0.819</v>
      </c>
      <c r="S205" s="0" t="n">
        <v>0.02</v>
      </c>
      <c r="T205" s="0" t="s">
        <v>34</v>
      </c>
      <c r="U205" s="0" t="n">
        <v>0.4782</v>
      </c>
      <c r="AA205" s="4" t="s">
        <v>218</v>
      </c>
      <c r="AB205" s="0" t="n">
        <f aca="false">FALSE()</f>
        <v>0</v>
      </c>
      <c r="AC205" s="4" t="s">
        <v>218</v>
      </c>
      <c r="AD205" s="4" t="s">
        <v>122</v>
      </c>
      <c r="AE205" s="4" t="s">
        <v>552</v>
      </c>
    </row>
    <row r="206" customFormat="false" ht="15" hidden="false" customHeight="false" outlineLevel="0" collapsed="false">
      <c r="A206" s="0" t="s">
        <v>31</v>
      </c>
      <c r="B206" s="0" t="n">
        <v>20000</v>
      </c>
      <c r="C206" s="0" t="n">
        <v>25000</v>
      </c>
      <c r="D206" s="0" t="s">
        <v>39</v>
      </c>
      <c r="E206" s="0" t="s">
        <v>33</v>
      </c>
      <c r="F206" s="0" t="n">
        <v>15.1</v>
      </c>
      <c r="G206" s="0" t="n">
        <v>0.413</v>
      </c>
      <c r="H206" s="0" t="n">
        <v>0.055</v>
      </c>
      <c r="I206" s="0" t="n">
        <v>0.9295</v>
      </c>
      <c r="J206" s="0" t="n">
        <v>0.331914436972385</v>
      </c>
      <c r="K206" s="0" t="n">
        <v>2.69425584653519</v>
      </c>
      <c r="L206" s="0" t="n">
        <v>12.7032520325203</v>
      </c>
      <c r="N206" s="0" t="n">
        <v>27956</v>
      </c>
      <c r="O206" s="0" t="n">
        <v>9279</v>
      </c>
      <c r="P206" s="0" t="n">
        <v>1968</v>
      </c>
      <c r="Q206" s="0" t="s">
        <v>34</v>
      </c>
      <c r="R206" s="0" t="n">
        <v>0.899</v>
      </c>
      <c r="S206" s="0" t="n">
        <v>0.079</v>
      </c>
      <c r="T206" s="0" t="n">
        <v>0.0442</v>
      </c>
      <c r="U206" s="0" t="n">
        <v>0.6235</v>
      </c>
      <c r="AA206" s="0" t="s">
        <v>534</v>
      </c>
      <c r="AB206" s="0" t="n">
        <f aca="false">FALSE()</f>
        <v>0</v>
      </c>
      <c r="AC206" s="4" t="s">
        <v>535</v>
      </c>
      <c r="AD206" s="4" t="s">
        <v>87</v>
      </c>
      <c r="AE206" s="4" t="s">
        <v>553</v>
      </c>
    </row>
    <row r="207" customFormat="false" ht="15" hidden="false" customHeight="false" outlineLevel="0" collapsed="false">
      <c r="AD207" s="4" t="s">
        <v>122</v>
      </c>
      <c r="AE207" s="4" t="s">
        <v>554</v>
      </c>
    </row>
    <row r="208" customFormat="false" ht="15" hidden="false" customHeight="false" outlineLevel="0" collapsed="false">
      <c r="A208" s="0" t="s">
        <v>31</v>
      </c>
      <c r="B208" s="0" t="n">
        <v>3000</v>
      </c>
      <c r="C208" s="0" t="n">
        <v>3000</v>
      </c>
      <c r="D208" s="0" t="s">
        <v>32</v>
      </c>
      <c r="E208" s="0" t="s">
        <v>44</v>
      </c>
      <c r="F208" s="0" t="n">
        <v>3.4</v>
      </c>
      <c r="G208" s="0" t="n">
        <v>0.298</v>
      </c>
      <c r="H208" s="0" t="n">
        <v>0.045</v>
      </c>
      <c r="I208" s="0" t="n">
        <v>0.9451</v>
      </c>
      <c r="J208" s="0" t="n">
        <v>0.321189279731993</v>
      </c>
      <c r="K208" s="0" t="n">
        <v>1.95567144719687</v>
      </c>
      <c r="L208" s="0" t="n">
        <v>9.14634146341463</v>
      </c>
      <c r="M208" s="0" t="n">
        <v>187.5</v>
      </c>
      <c r="N208" s="0" t="n">
        <v>4776</v>
      </c>
      <c r="O208" s="0" t="n">
        <v>1534</v>
      </c>
      <c r="P208" s="0" t="n">
        <v>328</v>
      </c>
      <c r="Q208" s="0" t="n">
        <v>16</v>
      </c>
      <c r="R208" s="0" t="n">
        <v>0.826</v>
      </c>
      <c r="S208" s="0" t="n">
        <v>0.036</v>
      </c>
      <c r="T208" s="0" t="n">
        <v>0.1805</v>
      </c>
      <c r="U208" s="0" t="s">
        <v>34</v>
      </c>
      <c r="AA208" s="0" t="s">
        <v>555</v>
      </c>
      <c r="AB208" s="0" t="n">
        <f aca="false">FALSE()</f>
        <v>0</v>
      </c>
      <c r="AC208" s="4" t="s">
        <v>556</v>
      </c>
      <c r="AD208" s="4" t="s">
        <v>62</v>
      </c>
      <c r="AE208" s="4" t="s">
        <v>557</v>
      </c>
    </row>
    <row r="209" customFormat="false" ht="15" hidden="false" customHeight="false" outlineLevel="0" collapsed="false">
      <c r="A209" s="0" t="s">
        <v>31</v>
      </c>
      <c r="B209" s="0" t="n">
        <v>5000</v>
      </c>
      <c r="C209" s="0" t="n">
        <v>4000</v>
      </c>
      <c r="D209" s="0" t="s">
        <v>32</v>
      </c>
      <c r="E209" s="0" t="s">
        <v>44</v>
      </c>
      <c r="F209" s="0" t="n">
        <v>5.3</v>
      </c>
      <c r="G209" s="0" t="n">
        <v>0.373</v>
      </c>
      <c r="H209" s="0" t="n">
        <v>0.049</v>
      </c>
      <c r="I209" s="0" t="n">
        <v>0.9351</v>
      </c>
      <c r="J209" s="0" t="n">
        <v>0.139575749968621</v>
      </c>
      <c r="K209" s="0" t="n">
        <v>4.49640287769784</v>
      </c>
      <c r="L209" s="0" t="n">
        <v>19.0839694656489</v>
      </c>
      <c r="M209" s="0" t="n">
        <v>142.857142857143</v>
      </c>
      <c r="N209" s="0" t="n">
        <v>7967</v>
      </c>
      <c r="O209" s="0" t="n">
        <v>1112</v>
      </c>
      <c r="P209" s="0" t="n">
        <v>262</v>
      </c>
      <c r="Q209" s="0" t="n">
        <v>35</v>
      </c>
      <c r="R209" s="0" t="n">
        <v>0.921</v>
      </c>
      <c r="S209" s="0" t="n">
        <v>0.036</v>
      </c>
      <c r="T209" s="0" t="n">
        <v>0.2589</v>
      </c>
      <c r="U209" s="0" t="s">
        <v>34</v>
      </c>
      <c r="AA209" s="0" t="s">
        <v>558</v>
      </c>
      <c r="AB209" s="0" t="n">
        <f aca="false">FALSE()</f>
        <v>0</v>
      </c>
      <c r="AC209" s="0" t="s">
        <v>559</v>
      </c>
      <c r="AD209" s="4" t="s">
        <v>62</v>
      </c>
      <c r="AE209" s="4" t="s">
        <v>560</v>
      </c>
    </row>
    <row r="210" customFormat="false" ht="15" hidden="false" customHeight="false" outlineLevel="0" collapsed="false">
      <c r="A210" s="0" t="s">
        <v>31</v>
      </c>
      <c r="B210" s="0" t="n">
        <v>3600</v>
      </c>
      <c r="C210" s="0" t="n">
        <v>3500</v>
      </c>
      <c r="D210" s="0" t="s">
        <v>32</v>
      </c>
      <c r="E210" s="0" t="s">
        <v>44</v>
      </c>
      <c r="F210" s="0" t="n">
        <v>2.9</v>
      </c>
      <c r="G210" s="0" t="n">
        <v>0.404</v>
      </c>
      <c r="H210" s="0" t="n">
        <v>0.031</v>
      </c>
      <c r="I210" s="0" t="n">
        <v>0.9643</v>
      </c>
      <c r="J210" s="0" t="n">
        <v>0.0524678556615512</v>
      </c>
      <c r="K210" s="0" t="n">
        <v>14.2292490118577</v>
      </c>
      <c r="L210" s="0" t="n">
        <v>59.0163934426229</v>
      </c>
      <c r="M210" s="0" t="n">
        <v>44.4444444444444</v>
      </c>
      <c r="N210" s="0" t="n">
        <v>4822</v>
      </c>
      <c r="O210" s="0" t="n">
        <v>253</v>
      </c>
      <c r="P210" s="0" t="n">
        <v>61</v>
      </c>
      <c r="Q210" s="0" t="n">
        <v>81</v>
      </c>
      <c r="R210" s="0" t="n">
        <v>0.554</v>
      </c>
      <c r="S210" s="0" t="n">
        <v>0.052</v>
      </c>
      <c r="T210" s="0" t="n">
        <v>0.3518</v>
      </c>
      <c r="U210" s="0" t="s">
        <v>34</v>
      </c>
      <c r="AA210" s="0" t="s">
        <v>561</v>
      </c>
      <c r="AB210" s="0" t="n">
        <f aca="false">FALSE()</f>
        <v>0</v>
      </c>
      <c r="AC210" s="4" t="s">
        <v>61</v>
      </c>
      <c r="AD210" s="4" t="s">
        <v>62</v>
      </c>
      <c r="AE210" s="4" t="s">
        <v>562</v>
      </c>
    </row>
    <row r="211" customFormat="false" ht="15" hidden="false" customHeight="false" outlineLevel="0" collapsed="false">
      <c r="A211" s="0" t="s">
        <v>31</v>
      </c>
      <c r="B211" s="0" t="n">
        <v>5900</v>
      </c>
      <c r="C211" s="0" t="n">
        <v>6200</v>
      </c>
      <c r="D211" s="0" t="s">
        <v>32</v>
      </c>
      <c r="E211" s="0" t="s">
        <v>44</v>
      </c>
      <c r="F211" s="0" t="n">
        <v>5.4</v>
      </c>
      <c r="G211" s="0" t="n">
        <v>0.41</v>
      </c>
      <c r="H211" s="0" t="n">
        <v>0.03</v>
      </c>
      <c r="I211" s="0" t="n">
        <v>0.9571</v>
      </c>
      <c r="J211" s="0" t="n">
        <v>0.154387115580819</v>
      </c>
      <c r="K211" s="0" t="n">
        <v>1.3924946896389</v>
      </c>
      <c r="L211" s="0" t="n">
        <v>10.5357142857143</v>
      </c>
      <c r="M211" s="0" t="n">
        <v>22.0149253731343</v>
      </c>
      <c r="N211" s="0" t="n">
        <v>27444</v>
      </c>
      <c r="O211" s="0" t="n">
        <v>4237</v>
      </c>
      <c r="P211" s="0" t="n">
        <v>560</v>
      </c>
      <c r="Q211" s="0" t="n">
        <v>268</v>
      </c>
      <c r="R211" s="0" t="n">
        <v>0.756</v>
      </c>
      <c r="S211" s="0" t="n">
        <v>0.053</v>
      </c>
      <c r="T211" s="0" t="n">
        <v>0.3063</v>
      </c>
      <c r="U211" s="0" t="s">
        <v>34</v>
      </c>
      <c r="V211" s="0" t="s">
        <v>45</v>
      </c>
      <c r="W211" s="4" t="s">
        <v>46</v>
      </c>
      <c r="X211" s="0" t="s">
        <v>399</v>
      </c>
      <c r="Y211" s="0" t="s">
        <v>400</v>
      </c>
      <c r="AA211" s="0" t="s">
        <v>563</v>
      </c>
      <c r="AB211" s="0" t="n">
        <f aca="false">TRUE()</f>
        <v>1</v>
      </c>
      <c r="AC211" s="4" t="s">
        <v>564</v>
      </c>
      <c r="AD211" s="4" t="s">
        <v>50</v>
      </c>
      <c r="AE211" s="4" t="s">
        <v>565</v>
      </c>
    </row>
    <row r="212" customFormat="false" ht="15" hidden="false" customHeight="false" outlineLevel="0" collapsed="false">
      <c r="A212" s="0" t="s">
        <v>31</v>
      </c>
      <c r="B212" s="0" t="n">
        <v>3200</v>
      </c>
      <c r="C212" s="0" t="s">
        <v>43</v>
      </c>
      <c r="D212" s="0" t="s">
        <v>32</v>
      </c>
      <c r="E212" s="0" t="s">
        <v>44</v>
      </c>
      <c r="F212" s="0" t="n">
        <v>2.8</v>
      </c>
      <c r="G212" s="0" t="n">
        <v>0.258</v>
      </c>
      <c r="H212" s="0" t="n">
        <v>0.078</v>
      </c>
      <c r="I212" s="0" t="n">
        <v>0.8887</v>
      </c>
      <c r="J212" s="0" t="n">
        <v>0.292172075911558</v>
      </c>
      <c r="K212" s="0" t="n">
        <v>0.398952749033786</v>
      </c>
      <c r="L212" s="0" t="n">
        <v>4.45682451253482</v>
      </c>
      <c r="M212" s="0" t="n">
        <v>38.0952380952381</v>
      </c>
      <c r="N212" s="0" t="n">
        <v>27453</v>
      </c>
      <c r="O212" s="0" t="n">
        <v>8021</v>
      </c>
      <c r="P212" s="0" t="n">
        <v>718</v>
      </c>
      <c r="Q212" s="0" t="n">
        <v>84</v>
      </c>
      <c r="R212" s="0" t="n">
        <v>0.874</v>
      </c>
      <c r="S212" s="0" t="n">
        <v>0.015</v>
      </c>
      <c r="T212" s="0" t="n">
        <v>0.2365</v>
      </c>
      <c r="U212" s="0" t="s">
        <v>34</v>
      </c>
      <c r="AA212" s="0" t="s">
        <v>566</v>
      </c>
      <c r="AB212" s="0" t="n">
        <f aca="false">FALSE()</f>
        <v>0</v>
      </c>
      <c r="AC212" s="0" t="s">
        <v>567</v>
      </c>
      <c r="AD212" s="4" t="s">
        <v>62</v>
      </c>
      <c r="AE212" s="4" t="s">
        <v>568</v>
      </c>
    </row>
    <row r="213" customFormat="false" ht="15" hidden="false" customHeight="false" outlineLevel="0" collapsed="false">
      <c r="A213" s="0" t="s">
        <v>31</v>
      </c>
      <c r="B213" s="0" t="n">
        <v>3000</v>
      </c>
      <c r="C213" s="0" t="n">
        <v>3000</v>
      </c>
      <c r="D213" s="0" t="s">
        <v>32</v>
      </c>
      <c r="E213" s="0" t="s">
        <v>44</v>
      </c>
      <c r="F213" s="0" t="n">
        <v>3.1</v>
      </c>
      <c r="G213" s="0" t="n">
        <v>0.211</v>
      </c>
      <c r="H213" s="0" t="n">
        <v>0.043</v>
      </c>
      <c r="I213" s="0" t="n">
        <v>0.9101</v>
      </c>
      <c r="J213" s="0" t="n">
        <v>0.433265582655827</v>
      </c>
      <c r="K213" s="0" t="n">
        <v>0.781860828772478</v>
      </c>
      <c r="L213" s="0" t="n">
        <v>6.80272108843537</v>
      </c>
      <c r="M213" s="0" t="n">
        <v>29.4117647058823</v>
      </c>
      <c r="N213" s="0" t="n">
        <v>8856</v>
      </c>
      <c r="O213" s="0" t="n">
        <v>3837</v>
      </c>
      <c r="P213" s="0" t="n">
        <v>441</v>
      </c>
      <c r="Q213" s="0" t="n">
        <v>102</v>
      </c>
      <c r="R213" s="0" t="n">
        <v>0.797</v>
      </c>
      <c r="S213" s="0" t="n">
        <v>0.006</v>
      </c>
      <c r="T213" s="0" t="n">
        <v>0.2613</v>
      </c>
      <c r="U213" s="0" t="s">
        <v>34</v>
      </c>
      <c r="AA213" s="0" t="s">
        <v>566</v>
      </c>
      <c r="AB213" s="0" t="n">
        <f aca="false">FALSE()</f>
        <v>0</v>
      </c>
      <c r="AC213" s="0" t="s">
        <v>567</v>
      </c>
      <c r="AD213" s="4" t="s">
        <v>62</v>
      </c>
      <c r="AE213" s="4" t="s">
        <v>569</v>
      </c>
    </row>
    <row r="214" customFormat="false" ht="15" hidden="false" customHeight="false" outlineLevel="0" collapsed="false">
      <c r="A214" s="0" t="s">
        <v>31</v>
      </c>
      <c r="B214" s="0" t="n">
        <v>2000</v>
      </c>
      <c r="C214" s="0" t="n">
        <v>2600</v>
      </c>
      <c r="D214" s="0" t="s">
        <v>32</v>
      </c>
      <c r="E214" s="0" t="s">
        <v>44</v>
      </c>
      <c r="F214" s="0" t="n">
        <v>2.5</v>
      </c>
      <c r="G214" s="0" t="n">
        <v>0.383</v>
      </c>
      <c r="H214" s="0" t="n">
        <v>0.038</v>
      </c>
      <c r="I214" s="0" t="n">
        <v>0.9351</v>
      </c>
      <c r="J214" s="0" t="n">
        <v>0.354504384799362</v>
      </c>
      <c r="K214" s="0" t="n">
        <v>1.49925037481259</v>
      </c>
      <c r="L214" s="0" t="n">
        <v>17.6991150442478</v>
      </c>
      <c r="M214" s="0" t="n">
        <v>66.6666666666667</v>
      </c>
      <c r="N214" s="0" t="n">
        <v>3763</v>
      </c>
      <c r="O214" s="0" t="n">
        <v>1334</v>
      </c>
      <c r="P214" s="0" t="n">
        <v>113</v>
      </c>
      <c r="Q214" s="0" t="n">
        <v>30</v>
      </c>
      <c r="R214" s="0" t="n">
        <v>0.889</v>
      </c>
      <c r="S214" s="0" t="n">
        <v>0.028</v>
      </c>
      <c r="T214" s="0" t="n">
        <v>0.2547</v>
      </c>
      <c r="U214" s="0" t="s">
        <v>34</v>
      </c>
      <c r="AA214" s="0" t="s">
        <v>566</v>
      </c>
      <c r="AB214" s="0" t="n">
        <f aca="false">FALSE()</f>
        <v>0</v>
      </c>
      <c r="AC214" s="0" t="s">
        <v>567</v>
      </c>
      <c r="AD214" s="4" t="s">
        <v>62</v>
      </c>
      <c r="AE214" s="4" t="s">
        <v>570</v>
      </c>
    </row>
    <row r="215" customFormat="false" ht="15" hidden="false" customHeight="false" outlineLevel="0" collapsed="false">
      <c r="A215" s="0" t="s">
        <v>31</v>
      </c>
      <c r="B215" s="0" t="n">
        <v>19600</v>
      </c>
      <c r="C215" s="0" t="s">
        <v>43</v>
      </c>
      <c r="D215" s="0" t="s">
        <v>32</v>
      </c>
      <c r="E215" s="0" t="s">
        <v>33</v>
      </c>
      <c r="F215" s="0" t="n">
        <v>17.1</v>
      </c>
      <c r="G215" s="0" t="n">
        <v>0.324</v>
      </c>
      <c r="H215" s="0" t="n">
        <v>0.035</v>
      </c>
      <c r="I215" s="0" t="n">
        <v>0.9585</v>
      </c>
      <c r="J215" s="0" t="n">
        <v>0.0845468257232963</v>
      </c>
      <c r="K215" s="0" t="n">
        <v>3.17872202400259</v>
      </c>
      <c r="L215" s="0" t="n">
        <v>33.6192109777015</v>
      </c>
      <c r="M215" s="0" t="n">
        <v>19.959266802444</v>
      </c>
      <c r="N215" s="0" t="n">
        <v>72930</v>
      </c>
      <c r="O215" s="0" t="n">
        <v>6166</v>
      </c>
      <c r="P215" s="0" t="n">
        <v>583</v>
      </c>
      <c r="Q215" s="0" t="n">
        <v>982</v>
      </c>
      <c r="R215" s="0" t="n">
        <v>0.858</v>
      </c>
      <c r="S215" s="0" t="n">
        <v>0.042</v>
      </c>
      <c r="T215" s="0" t="n">
        <v>0.2599</v>
      </c>
      <c r="U215" s="0" t="s">
        <v>34</v>
      </c>
      <c r="AA215" s="0" t="s">
        <v>571</v>
      </c>
      <c r="AB215" s="0" t="n">
        <f aca="false">FALSE()</f>
        <v>0</v>
      </c>
      <c r="AC215" s="4" t="s">
        <v>572</v>
      </c>
      <c r="AD215" s="4" t="s">
        <v>87</v>
      </c>
      <c r="AE215" s="4" t="s">
        <v>573</v>
      </c>
    </row>
    <row r="216" customFormat="false" ht="15" hidden="false" customHeight="false" outlineLevel="0" collapsed="false">
      <c r="A216" s="0" t="s">
        <v>31</v>
      </c>
      <c r="B216" s="0" t="n">
        <v>4200</v>
      </c>
      <c r="C216" s="0" t="n">
        <v>4500</v>
      </c>
      <c r="D216" s="0" t="s">
        <v>32</v>
      </c>
      <c r="E216" s="0" t="s">
        <v>44</v>
      </c>
      <c r="F216" s="0" t="n">
        <v>4.1</v>
      </c>
      <c r="G216" s="0" t="n">
        <v>0.36</v>
      </c>
      <c r="H216" s="0" t="n">
        <v>0.042</v>
      </c>
      <c r="I216" s="0" t="n">
        <v>0.9329</v>
      </c>
      <c r="J216" s="0" t="n">
        <v>0.19034620505992</v>
      </c>
      <c r="K216" s="0" t="n">
        <v>0.734522560335782</v>
      </c>
      <c r="L216" s="0" t="n">
        <v>19.9052132701422</v>
      </c>
      <c r="M216" s="0" t="n">
        <v>45.6521739130435</v>
      </c>
      <c r="N216" s="0" t="n">
        <v>30040</v>
      </c>
      <c r="O216" s="0" t="n">
        <v>5718</v>
      </c>
      <c r="P216" s="0" t="n">
        <v>211</v>
      </c>
      <c r="Q216" s="0" t="n">
        <v>92</v>
      </c>
      <c r="R216" s="0" t="n">
        <v>0.922</v>
      </c>
      <c r="S216" s="0" t="n">
        <v>0.029</v>
      </c>
      <c r="T216" s="0" t="n">
        <v>0.4096</v>
      </c>
      <c r="U216" s="0" t="s">
        <v>34</v>
      </c>
      <c r="AA216" s="0" t="s">
        <v>566</v>
      </c>
      <c r="AB216" s="0" t="n">
        <f aca="false">FALSE()</f>
        <v>0</v>
      </c>
      <c r="AC216" s="0" t="s">
        <v>567</v>
      </c>
      <c r="AD216" s="4" t="s">
        <v>62</v>
      </c>
      <c r="AE216" s="4" t="s">
        <v>574</v>
      </c>
    </row>
    <row r="217" customFormat="false" ht="15" hidden="false" customHeight="false" outlineLevel="0" collapsed="false">
      <c r="A217" s="0" t="s">
        <v>31</v>
      </c>
      <c r="B217" s="0" t="n">
        <v>8300</v>
      </c>
      <c r="C217" s="0" t="n">
        <v>9000</v>
      </c>
      <c r="D217" s="0" t="s">
        <v>32</v>
      </c>
      <c r="E217" s="0" t="s">
        <v>33</v>
      </c>
      <c r="F217" s="0" t="n">
        <v>11.5</v>
      </c>
      <c r="G217" s="0" t="n">
        <v>0.373</v>
      </c>
      <c r="H217" s="0" t="n">
        <v>0.036</v>
      </c>
      <c r="I217" s="0" t="n">
        <v>0.9637</v>
      </c>
      <c r="J217" s="0" t="n">
        <v>0.0947745269209742</v>
      </c>
      <c r="K217" s="0" t="n">
        <v>1.54447339039821</v>
      </c>
      <c r="L217" s="0" t="n">
        <v>14.0202702702703</v>
      </c>
      <c r="M217" s="0" t="n">
        <v>48.5380116959064</v>
      </c>
      <c r="N217" s="0" t="n">
        <v>56703</v>
      </c>
      <c r="O217" s="0" t="n">
        <v>5374</v>
      </c>
      <c r="P217" s="0" t="n">
        <v>592</v>
      </c>
      <c r="Q217" s="0" t="n">
        <v>171</v>
      </c>
      <c r="R217" s="0" t="n">
        <v>0.646</v>
      </c>
      <c r="S217" s="0" t="n">
        <v>0.032</v>
      </c>
      <c r="T217" s="0" t="n">
        <v>0.2994</v>
      </c>
      <c r="U217" s="0" t="s">
        <v>34</v>
      </c>
      <c r="AA217" s="0" t="s">
        <v>575</v>
      </c>
      <c r="AB217" s="0" t="n">
        <f aca="false">FALSE()</f>
        <v>0</v>
      </c>
      <c r="AC217" s="0" t="s">
        <v>575</v>
      </c>
      <c r="AD217" s="4" t="s">
        <v>122</v>
      </c>
      <c r="AE217" s="4" t="s">
        <v>576</v>
      </c>
    </row>
    <row r="218" customFormat="false" ht="15" hidden="false" customHeight="false" outlineLevel="0" collapsed="false">
      <c r="A218" s="0" t="s">
        <v>31</v>
      </c>
      <c r="B218" s="0" t="n">
        <v>9500</v>
      </c>
      <c r="C218" s="0" t="n">
        <v>9600</v>
      </c>
      <c r="D218" s="0" t="s">
        <v>32</v>
      </c>
      <c r="E218" s="0" t="s">
        <v>44</v>
      </c>
      <c r="F218" s="0" t="n">
        <v>2.9</v>
      </c>
      <c r="G218" s="0" t="n">
        <v>0.195</v>
      </c>
      <c r="H218" s="0" t="n">
        <v>0.075</v>
      </c>
      <c r="I218" s="0" t="n">
        <v>0.9185</v>
      </c>
      <c r="J218" s="0" t="n">
        <v>0.19577831132453</v>
      </c>
      <c r="K218" s="0" t="n">
        <v>0.54505195026401</v>
      </c>
      <c r="L218" s="0" t="n">
        <v>7.63116057233704</v>
      </c>
      <c r="M218" s="0" t="n">
        <v>10.0840336134454</v>
      </c>
      <c r="N218" s="0" t="n">
        <v>89964</v>
      </c>
      <c r="O218" s="0" t="n">
        <v>17613</v>
      </c>
      <c r="P218" s="0" t="n">
        <v>1258</v>
      </c>
      <c r="Q218" s="0" t="n">
        <v>952</v>
      </c>
      <c r="R218" s="0" t="n">
        <v>0.892</v>
      </c>
      <c r="S218" s="0" t="n">
        <v>0.003</v>
      </c>
      <c r="T218" s="0" t="s">
        <v>34</v>
      </c>
      <c r="U218" s="0" t="n">
        <v>0.2378</v>
      </c>
      <c r="V218" s="0" t="s">
        <v>45</v>
      </c>
      <c r="W218" s="4" t="s">
        <v>46</v>
      </c>
      <c r="X218" s="0" t="s">
        <v>399</v>
      </c>
      <c r="Y218" s="0" t="s">
        <v>400</v>
      </c>
      <c r="Z218" s="4" t="s">
        <v>577</v>
      </c>
      <c r="AA218" s="0" t="s">
        <v>578</v>
      </c>
      <c r="AB218" s="0" t="n">
        <f aca="false">TRUE()</f>
        <v>1</v>
      </c>
      <c r="AC218" s="4" t="s">
        <v>579</v>
      </c>
      <c r="AD218" s="4" t="s">
        <v>50</v>
      </c>
      <c r="AE218" s="4" t="s">
        <v>580</v>
      </c>
    </row>
    <row r="219" customFormat="false" ht="15" hidden="false" customHeight="false" outlineLevel="0" collapsed="false">
      <c r="A219" s="0" t="s">
        <v>31</v>
      </c>
      <c r="B219" s="0" t="n">
        <v>4500</v>
      </c>
      <c r="C219" s="0" t="n">
        <v>5800</v>
      </c>
      <c r="D219" s="0" t="s">
        <v>32</v>
      </c>
      <c r="E219" s="0" t="s">
        <v>44</v>
      </c>
      <c r="F219" s="0" t="n">
        <v>2.1</v>
      </c>
      <c r="G219" s="0" t="n">
        <v>0.133</v>
      </c>
      <c r="H219" s="0" t="n">
        <v>0.047</v>
      </c>
      <c r="I219" s="0" t="n">
        <v>0.9069</v>
      </c>
      <c r="J219" s="0" t="n">
        <v>0.132491186839013</v>
      </c>
      <c r="K219" s="0" t="n">
        <v>6.43015521064302</v>
      </c>
      <c r="L219" s="0" t="n">
        <v>29.8969072164948</v>
      </c>
      <c r="M219" s="0" t="n">
        <v>19.5945945945946</v>
      </c>
      <c r="N219" s="0" t="n">
        <v>6808</v>
      </c>
      <c r="O219" s="0" t="n">
        <v>902</v>
      </c>
      <c r="P219" s="0" t="n">
        <v>194</v>
      </c>
      <c r="Q219" s="0" t="n">
        <v>296</v>
      </c>
      <c r="R219" s="0" t="n">
        <v>0.613</v>
      </c>
      <c r="S219" s="0" t="n">
        <v>0.141</v>
      </c>
      <c r="T219" s="0" t="n">
        <v>0.2409</v>
      </c>
      <c r="U219" s="0" t="n">
        <v>0.063</v>
      </c>
      <c r="AA219" s="0" t="s">
        <v>581</v>
      </c>
      <c r="AB219" s="0" t="n">
        <f aca="false">FALSE()</f>
        <v>0</v>
      </c>
      <c r="AC219" s="4" t="s">
        <v>133</v>
      </c>
      <c r="AD219" s="4" t="s">
        <v>133</v>
      </c>
      <c r="AE219" s="4" t="s">
        <v>582</v>
      </c>
    </row>
    <row r="220" customFormat="false" ht="15" hidden="false" customHeight="false" outlineLevel="0" collapsed="false">
      <c r="A220" s="0" t="s">
        <v>31</v>
      </c>
      <c r="B220" s="0" t="s">
        <v>43</v>
      </c>
      <c r="C220" s="0" t="n">
        <v>2900</v>
      </c>
      <c r="D220" s="0" t="s">
        <v>32</v>
      </c>
      <c r="E220" s="0" t="s">
        <v>44</v>
      </c>
      <c r="F220" s="0" t="n">
        <v>2.5</v>
      </c>
      <c r="G220" s="0" t="n">
        <v>0.414</v>
      </c>
      <c r="H220" s="0" t="n">
        <v>0.047</v>
      </c>
      <c r="I220" s="0" t="n">
        <v>0.9131</v>
      </c>
      <c r="J220" s="0" t="n">
        <v>0.115509009702757</v>
      </c>
      <c r="K220" s="0" t="n">
        <v>3.86666666666667</v>
      </c>
      <c r="L220" s="0" t="n">
        <v>11.5079365079365</v>
      </c>
      <c r="M220" s="0" t="n">
        <v>18.125</v>
      </c>
      <c r="N220" s="0" t="n">
        <v>6493</v>
      </c>
      <c r="O220" s="0" t="n">
        <v>750</v>
      </c>
      <c r="P220" s="0" t="n">
        <v>252</v>
      </c>
      <c r="Q220" s="0" t="n">
        <v>160</v>
      </c>
      <c r="R220" s="0" t="n">
        <v>0.602</v>
      </c>
      <c r="S220" s="0" t="n">
        <v>0.183</v>
      </c>
      <c r="T220" s="0" t="s">
        <v>34</v>
      </c>
      <c r="U220" s="0" t="n">
        <v>0.1151</v>
      </c>
      <c r="AA220" s="0" t="s">
        <v>581</v>
      </c>
      <c r="AB220" s="0" t="n">
        <f aca="false">FALSE()</f>
        <v>0</v>
      </c>
      <c r="AC220" s="4" t="s">
        <v>133</v>
      </c>
      <c r="AD220" s="4" t="s">
        <v>133</v>
      </c>
      <c r="AE220" s="4" t="s">
        <v>583</v>
      </c>
    </row>
    <row r="221" customFormat="false" ht="15" hidden="false" customHeight="false" outlineLevel="0" collapsed="false">
      <c r="A221" s="0" t="s">
        <v>31</v>
      </c>
      <c r="B221" s="0" t="n">
        <v>6000</v>
      </c>
      <c r="C221" s="0" t="n">
        <v>8000</v>
      </c>
      <c r="D221" s="0" t="s">
        <v>32</v>
      </c>
      <c r="E221" s="0" t="s">
        <v>44</v>
      </c>
      <c r="F221" s="0" t="n">
        <v>6.5</v>
      </c>
      <c r="G221" s="0" t="n">
        <v>0.524</v>
      </c>
      <c r="H221" s="0" t="n">
        <v>0.04</v>
      </c>
      <c r="I221" s="0" t="n">
        <v>0.9688</v>
      </c>
      <c r="J221" s="0" t="n">
        <v>0.125206651755324</v>
      </c>
      <c r="K221" s="0" t="n">
        <v>3.10679611650485</v>
      </c>
      <c r="L221" s="0" t="n">
        <v>11.5606936416185</v>
      </c>
      <c r="M221" s="0" t="n">
        <v>9.88875154511743</v>
      </c>
      <c r="N221" s="0" t="n">
        <v>20566</v>
      </c>
      <c r="O221" s="0" t="n">
        <v>2575</v>
      </c>
      <c r="P221" s="0" t="n">
        <v>692</v>
      </c>
      <c r="Q221" s="0" t="n">
        <v>809</v>
      </c>
      <c r="R221" s="0" t="n">
        <v>0.327</v>
      </c>
      <c r="S221" s="0" t="n">
        <v>0.215</v>
      </c>
      <c r="T221" s="0" t="s">
        <v>34</v>
      </c>
      <c r="U221" s="0" t="n">
        <v>0.3731</v>
      </c>
      <c r="AA221" s="0" t="s">
        <v>561</v>
      </c>
      <c r="AB221" s="0" t="n">
        <f aca="false">FALSE()</f>
        <v>0</v>
      </c>
      <c r="AC221" s="4" t="s">
        <v>61</v>
      </c>
      <c r="AD221" s="4" t="s">
        <v>62</v>
      </c>
      <c r="AE221" s="4" t="s">
        <v>63</v>
      </c>
    </row>
    <row r="222" customFormat="false" ht="15" hidden="false" customHeight="false" outlineLevel="0" collapsed="false">
      <c r="A222" s="0" t="s">
        <v>31</v>
      </c>
      <c r="B222" s="0" t="n">
        <v>15000</v>
      </c>
      <c r="C222" s="0" t="n">
        <v>22000</v>
      </c>
      <c r="D222" s="0" t="s">
        <v>32</v>
      </c>
      <c r="E222" s="0" t="s">
        <v>33</v>
      </c>
      <c r="F222" s="0" t="n">
        <v>21</v>
      </c>
      <c r="G222" s="0" t="n">
        <v>0.355</v>
      </c>
      <c r="H222" s="0" t="n">
        <v>0.042</v>
      </c>
      <c r="I222" s="0" t="n">
        <v>0.9672</v>
      </c>
      <c r="J222" s="0" t="n">
        <v>0.108846679368012</v>
      </c>
      <c r="K222" s="0" t="n">
        <v>3.88967468175389</v>
      </c>
      <c r="L222" s="0" t="n">
        <v>22.6570545829042</v>
      </c>
      <c r="N222" s="0" t="n">
        <v>51963</v>
      </c>
      <c r="O222" s="0" t="n">
        <v>5656</v>
      </c>
      <c r="P222" s="0" t="n">
        <v>971</v>
      </c>
      <c r="Q222" s="0" t="s">
        <v>34</v>
      </c>
      <c r="R222" s="0" t="n">
        <v>0.954</v>
      </c>
      <c r="S222" s="0" t="n">
        <v>0.002</v>
      </c>
      <c r="T222" s="0" t="s">
        <v>34</v>
      </c>
      <c r="U222" s="0" t="n">
        <v>0.0144</v>
      </c>
      <c r="AA222" s="0" t="s">
        <v>561</v>
      </c>
      <c r="AB222" s="0" t="n">
        <f aca="false">FALSE()</f>
        <v>0</v>
      </c>
      <c r="AC222" s="4" t="s">
        <v>61</v>
      </c>
      <c r="AD222" s="4" t="s">
        <v>62</v>
      </c>
      <c r="AE222" s="4" t="s">
        <v>584</v>
      </c>
    </row>
    <row r="223" customFormat="false" ht="15" hidden="false" customHeight="false" outlineLevel="0" collapsed="false">
      <c r="AD223" s="4" t="s">
        <v>122</v>
      </c>
      <c r="AE223" s="4" t="s">
        <v>123</v>
      </c>
    </row>
    <row r="224" customFormat="false" ht="15" hidden="false" customHeight="false" outlineLevel="0" collapsed="false">
      <c r="A224" s="0" t="s">
        <v>31</v>
      </c>
      <c r="B224" s="0" t="n">
        <v>3500</v>
      </c>
      <c r="C224" s="0" t="n">
        <v>3800</v>
      </c>
      <c r="D224" s="0" t="s">
        <v>32</v>
      </c>
      <c r="E224" s="0" t="s">
        <v>44</v>
      </c>
      <c r="F224" s="0" t="n">
        <v>2.8</v>
      </c>
      <c r="G224" s="0" t="n">
        <v>0.301</v>
      </c>
      <c r="H224" s="0" t="n">
        <v>0.067</v>
      </c>
      <c r="I224" s="0" t="n">
        <v>0.9143</v>
      </c>
      <c r="J224" s="0" t="n">
        <v>0.130385806814982</v>
      </c>
      <c r="K224" s="0" t="n">
        <v>3.77969762419006</v>
      </c>
      <c r="L224" s="0" t="n">
        <v>9.64187327823692</v>
      </c>
      <c r="M224" s="0" t="n">
        <v>59.3220338983051</v>
      </c>
      <c r="N224" s="0" t="n">
        <v>7102</v>
      </c>
      <c r="O224" s="0" t="n">
        <v>926</v>
      </c>
      <c r="P224" s="0" t="n">
        <v>363</v>
      </c>
      <c r="Q224" s="0" t="n">
        <v>59</v>
      </c>
      <c r="R224" s="0" t="n">
        <v>0.334</v>
      </c>
      <c r="S224" s="0" t="n">
        <v>0.217</v>
      </c>
      <c r="T224" s="0" t="n">
        <v>0.3089</v>
      </c>
      <c r="U224" s="0" t="s">
        <v>34</v>
      </c>
      <c r="AA224" s="0" t="s">
        <v>561</v>
      </c>
      <c r="AB224" s="0" t="n">
        <f aca="false">FALSE()</f>
        <v>0</v>
      </c>
      <c r="AC224" s="4" t="s">
        <v>61</v>
      </c>
      <c r="AD224" s="4" t="s">
        <v>62</v>
      </c>
      <c r="AE224" s="4" t="s">
        <v>585</v>
      </c>
    </row>
    <row r="225" customFormat="false" ht="15" hidden="false" customHeight="false" outlineLevel="0" collapsed="false">
      <c r="A225" s="0" t="s">
        <v>31</v>
      </c>
      <c r="B225" s="0" t="n">
        <v>5400</v>
      </c>
      <c r="C225" s="0" t="s">
        <v>43</v>
      </c>
      <c r="D225" s="0" t="s">
        <v>32</v>
      </c>
      <c r="E225" s="0" t="s">
        <v>33</v>
      </c>
      <c r="F225" s="0" t="n">
        <v>15.5</v>
      </c>
      <c r="G225" s="0" t="n">
        <v>0.307</v>
      </c>
      <c r="H225" s="0" t="n">
        <v>0.028</v>
      </c>
      <c r="I225" s="0" t="n">
        <v>0.9493</v>
      </c>
      <c r="J225" s="0" t="n">
        <v>0.125974499089253</v>
      </c>
      <c r="K225" s="0" t="n">
        <v>1.5615962984384</v>
      </c>
      <c r="L225" s="0" t="n">
        <v>8.95522388059701</v>
      </c>
      <c r="M225" s="0" t="n">
        <v>1.68329177057357</v>
      </c>
      <c r="N225" s="0" t="n">
        <v>27450</v>
      </c>
      <c r="O225" s="0" t="n">
        <v>3458</v>
      </c>
      <c r="P225" s="0" t="n">
        <v>603</v>
      </c>
      <c r="Q225" s="0" t="n">
        <v>3208</v>
      </c>
      <c r="R225" s="0" t="n">
        <v>0.551</v>
      </c>
      <c r="S225" s="0" t="n">
        <v>0.273</v>
      </c>
      <c r="T225" s="0" t="n">
        <v>0.2103</v>
      </c>
      <c r="U225" s="0" t="s">
        <v>34</v>
      </c>
      <c r="AA225" s="0" t="s">
        <v>586</v>
      </c>
      <c r="AB225" s="0" t="n">
        <f aca="false">FALSE()</f>
        <v>0</v>
      </c>
      <c r="AC225" s="4" t="s">
        <v>587</v>
      </c>
      <c r="AD225" s="4" t="s">
        <v>157</v>
      </c>
      <c r="AE225" s="4" t="s">
        <v>588</v>
      </c>
    </row>
    <row r="226" customFormat="false" ht="15" hidden="false" customHeight="false" outlineLevel="0" collapsed="false">
      <c r="A226" s="0" t="s">
        <v>31</v>
      </c>
      <c r="B226" s="0" t="n">
        <v>5000</v>
      </c>
      <c r="C226" s="0" t="s">
        <v>43</v>
      </c>
      <c r="D226" s="0" t="s">
        <v>32</v>
      </c>
      <c r="E226" s="0" t="s">
        <v>44</v>
      </c>
      <c r="F226" s="0" t="n">
        <v>4.6</v>
      </c>
      <c r="G226" s="0" t="n">
        <v>0.589</v>
      </c>
      <c r="H226" s="0" t="n">
        <v>0.035</v>
      </c>
      <c r="I226" s="0" t="n">
        <v>0.9507</v>
      </c>
      <c r="J226" s="0" t="n">
        <v>0.208946608946609</v>
      </c>
      <c r="K226" s="0" t="n">
        <v>0.287753222836096</v>
      </c>
      <c r="L226" s="0" t="n">
        <v>5.67536889897843</v>
      </c>
      <c r="M226" s="0" t="n">
        <v>7.6219512195122</v>
      </c>
      <c r="N226" s="0" t="n">
        <v>83160</v>
      </c>
      <c r="O226" s="0" t="n">
        <v>17376</v>
      </c>
      <c r="P226" s="0" t="n">
        <v>881</v>
      </c>
      <c r="Q226" s="0" t="n">
        <v>656</v>
      </c>
      <c r="R226" s="0" t="n">
        <v>0.964</v>
      </c>
      <c r="S226" s="0" t="n">
        <v>0.002</v>
      </c>
      <c r="T226" s="0" t="n">
        <v>0.4277</v>
      </c>
      <c r="U226" s="0" t="s">
        <v>34</v>
      </c>
      <c r="V226" s="0" t="s">
        <v>313</v>
      </c>
      <c r="W226" s="4" t="s">
        <v>181</v>
      </c>
      <c r="X226" s="4" t="s">
        <v>182</v>
      </c>
      <c r="Y226" s="0" t="s">
        <v>589</v>
      </c>
      <c r="Z226" s="4" t="s">
        <v>590</v>
      </c>
      <c r="AA226" s="0" t="s">
        <v>591</v>
      </c>
      <c r="AB226" s="0" t="n">
        <f aca="false">TRUE()</f>
        <v>1</v>
      </c>
      <c r="AC226" s="4" t="s">
        <v>592</v>
      </c>
      <c r="AD226" s="4" t="s">
        <v>339</v>
      </c>
      <c r="AE226" s="4" t="s">
        <v>593</v>
      </c>
    </row>
    <row r="227" customFormat="false" ht="15" hidden="false" customHeight="false" outlineLevel="0" collapsed="false">
      <c r="A227" s="0" t="s">
        <v>31</v>
      </c>
      <c r="B227" s="0" t="n">
        <v>4500</v>
      </c>
      <c r="C227" s="0" t="s">
        <v>43</v>
      </c>
      <c r="D227" s="0" t="s">
        <v>32</v>
      </c>
      <c r="E227" s="0" t="s">
        <v>44</v>
      </c>
      <c r="F227" s="0" t="n">
        <v>4.9</v>
      </c>
      <c r="G227" s="0" t="n">
        <v>0.276</v>
      </c>
      <c r="H227" s="0" t="n">
        <v>0.057</v>
      </c>
      <c r="I227" s="0" t="n">
        <v>0.9364</v>
      </c>
      <c r="J227" s="0" t="n">
        <v>0.301167002012072</v>
      </c>
      <c r="K227" s="0" t="n">
        <v>1.20256547300909</v>
      </c>
      <c r="L227" s="0" t="n">
        <v>11.4213197969543</v>
      </c>
      <c r="M227" s="0" t="n">
        <v>166.666666666667</v>
      </c>
      <c r="N227" s="0" t="n">
        <v>12425</v>
      </c>
      <c r="O227" s="0" t="n">
        <v>3742</v>
      </c>
      <c r="P227" s="0" t="n">
        <v>394</v>
      </c>
      <c r="Q227" s="0" t="n">
        <v>27</v>
      </c>
      <c r="R227" s="0" t="n">
        <v>0.84</v>
      </c>
      <c r="S227" s="0" t="n">
        <v>0.016</v>
      </c>
      <c r="T227" s="0" t="n">
        <v>0.3373</v>
      </c>
      <c r="U227" s="0" t="s">
        <v>34</v>
      </c>
      <c r="AA227" s="0" t="s">
        <v>561</v>
      </c>
      <c r="AB227" s="0" t="n">
        <f aca="false">FALSE()</f>
        <v>0</v>
      </c>
      <c r="AC227" s="4" t="s">
        <v>61</v>
      </c>
      <c r="AD227" s="4" t="s">
        <v>62</v>
      </c>
      <c r="AE227" s="4" t="s">
        <v>562</v>
      </c>
    </row>
    <row r="228" customFormat="false" ht="15" hidden="false" customHeight="false" outlineLevel="0" collapsed="false">
      <c r="A228" s="0" t="s">
        <v>31</v>
      </c>
      <c r="B228" s="0" t="n">
        <v>4300</v>
      </c>
      <c r="C228" s="0" t="n">
        <v>3440</v>
      </c>
      <c r="D228" s="0" t="s">
        <v>32</v>
      </c>
      <c r="E228" s="0" t="s">
        <v>44</v>
      </c>
      <c r="F228" s="0" t="n">
        <v>2.5</v>
      </c>
      <c r="G228" s="0" t="n">
        <v>0.393</v>
      </c>
      <c r="H228" s="0" t="n">
        <v>0.043</v>
      </c>
      <c r="I228" s="0" t="n">
        <v>0.9123</v>
      </c>
      <c r="J228" s="0" t="n">
        <v>0.412218045112782</v>
      </c>
      <c r="K228" s="0" t="n">
        <v>0.980392156862745</v>
      </c>
      <c r="L228" s="0" t="n">
        <v>8.61723446893788</v>
      </c>
      <c r="M228" s="0" t="n">
        <v>93.4782608695652</v>
      </c>
      <c r="N228" s="0" t="n">
        <v>10640</v>
      </c>
      <c r="O228" s="0" t="n">
        <v>4386</v>
      </c>
      <c r="P228" s="0" t="n">
        <v>499</v>
      </c>
      <c r="Q228" s="0" t="n">
        <v>46</v>
      </c>
      <c r="R228" s="0" t="n">
        <v>0.711</v>
      </c>
      <c r="S228" s="0" t="n">
        <v>0.042</v>
      </c>
      <c r="T228" s="0" t="n">
        <v>0.167</v>
      </c>
      <c r="U228" s="0" t="s">
        <v>34</v>
      </c>
      <c r="AA228" s="0" t="s">
        <v>594</v>
      </c>
      <c r="AB228" s="0" t="n">
        <f aca="false">FALSE()</f>
        <v>0</v>
      </c>
      <c r="AC228" s="4" t="s">
        <v>595</v>
      </c>
      <c r="AD228" s="4" t="s">
        <v>133</v>
      </c>
      <c r="AE228" s="4" t="s">
        <v>596</v>
      </c>
    </row>
    <row r="229" customFormat="false" ht="15" hidden="false" customHeight="false" outlineLevel="0" collapsed="false">
      <c r="A229" s="0" t="s">
        <v>31</v>
      </c>
      <c r="B229" s="0" t="n">
        <v>3500</v>
      </c>
      <c r="C229" s="0" t="n">
        <v>4500</v>
      </c>
      <c r="D229" s="0" t="s">
        <v>32</v>
      </c>
      <c r="E229" s="0" t="s">
        <v>44</v>
      </c>
      <c r="F229" s="0" t="n">
        <v>2.4</v>
      </c>
      <c r="G229" s="0" t="n">
        <v>0.323</v>
      </c>
      <c r="H229" s="0" t="n">
        <v>0.071</v>
      </c>
      <c r="I229" s="0" t="n">
        <v>0.8808</v>
      </c>
      <c r="J229" s="0" t="n">
        <v>0.156758234249009</v>
      </c>
      <c r="K229" s="0" t="n">
        <v>3.0514385353095</v>
      </c>
      <c r="L229" s="0" t="n">
        <v>9.77653631284916</v>
      </c>
      <c r="M229" s="0" t="n">
        <v>76.0869565217391</v>
      </c>
      <c r="N229" s="0" t="n">
        <v>7317</v>
      </c>
      <c r="O229" s="0" t="n">
        <v>1147</v>
      </c>
      <c r="P229" s="0" t="n">
        <v>358</v>
      </c>
      <c r="Q229" s="0" t="n">
        <v>46</v>
      </c>
      <c r="R229" s="0" t="n">
        <v>0.402</v>
      </c>
      <c r="S229" s="0" t="n">
        <v>0.202</v>
      </c>
      <c r="T229" s="0" t="n">
        <v>0.3489</v>
      </c>
      <c r="U229" s="0" t="s">
        <v>34</v>
      </c>
      <c r="AA229" s="0" t="s">
        <v>597</v>
      </c>
      <c r="AB229" s="0" t="n">
        <f aca="false">FALSE()</f>
        <v>0</v>
      </c>
      <c r="AC229" s="4" t="s">
        <v>598</v>
      </c>
      <c r="AD229" s="4" t="s">
        <v>37</v>
      </c>
      <c r="AE229" s="4" t="s">
        <v>599</v>
      </c>
    </row>
    <row r="230" customFormat="false" ht="15" hidden="false" customHeight="false" outlineLevel="0" collapsed="false">
      <c r="A230" s="0" t="s">
        <v>31</v>
      </c>
      <c r="B230" s="0" t="n">
        <v>25000</v>
      </c>
      <c r="C230" s="0" t="n">
        <v>30000</v>
      </c>
      <c r="D230" s="0" t="s">
        <v>32</v>
      </c>
      <c r="E230" s="0" t="s">
        <v>33</v>
      </c>
      <c r="F230" s="0" t="n">
        <v>30.1</v>
      </c>
      <c r="G230" s="0" t="n">
        <v>0.529</v>
      </c>
      <c r="H230" s="0" t="n">
        <v>0.029</v>
      </c>
      <c r="I230" s="0" t="n">
        <v>0.9704</v>
      </c>
      <c r="J230" s="0" t="n">
        <v>0.155529047074194</v>
      </c>
      <c r="K230" s="0" t="n">
        <v>0.782635917771053</v>
      </c>
      <c r="L230" s="0" t="n">
        <v>13.869625520111</v>
      </c>
      <c r="M230" s="0" t="n">
        <v>77.720207253886</v>
      </c>
      <c r="N230" s="0" t="n">
        <v>246462</v>
      </c>
      <c r="O230" s="0" t="n">
        <v>38332</v>
      </c>
      <c r="P230" s="0" t="n">
        <v>2163</v>
      </c>
      <c r="Q230" s="0" t="n">
        <v>386</v>
      </c>
      <c r="R230" s="0" t="n">
        <v>0.964</v>
      </c>
      <c r="S230" s="0" t="n">
        <v>0.002</v>
      </c>
      <c r="T230" s="0" t="s">
        <v>34</v>
      </c>
      <c r="U230" s="0" t="n">
        <v>0.3476</v>
      </c>
      <c r="V230" s="0" t="s">
        <v>313</v>
      </c>
      <c r="W230" s="4" t="s">
        <v>113</v>
      </c>
      <c r="X230" s="4" t="s">
        <v>267</v>
      </c>
      <c r="Y230" s="4" t="s">
        <v>395</v>
      </c>
      <c r="AA230" s="0" t="s">
        <v>600</v>
      </c>
      <c r="AB230" s="0" t="n">
        <f aca="false">FALSE()</f>
        <v>0</v>
      </c>
      <c r="AC230" s="0" t="s">
        <v>600</v>
      </c>
      <c r="AD230" s="4" t="s">
        <v>279</v>
      </c>
      <c r="AE230" s="4" t="s">
        <v>601</v>
      </c>
    </row>
    <row r="231" customFormat="false" ht="15" hidden="false" customHeight="false" outlineLevel="0" collapsed="false">
      <c r="A231" s="0" t="s">
        <v>31</v>
      </c>
      <c r="B231" s="0" t="n">
        <v>10000</v>
      </c>
      <c r="C231" s="0" t="n">
        <v>22000</v>
      </c>
      <c r="D231" s="0" t="s">
        <v>32</v>
      </c>
      <c r="E231" s="0" t="s">
        <v>33</v>
      </c>
      <c r="F231" s="0" t="n">
        <v>14.2</v>
      </c>
      <c r="G231" s="0" t="n">
        <v>0.263</v>
      </c>
      <c r="H231" s="0" t="n">
        <v>0.057</v>
      </c>
      <c r="I231" s="0" t="n">
        <v>0.898</v>
      </c>
      <c r="J231" s="0" t="n">
        <v>0.265070487874024</v>
      </c>
      <c r="K231" s="0" t="n">
        <v>1.06951871657754</v>
      </c>
      <c r="L231" s="0" t="n">
        <v>20.5799812909261</v>
      </c>
      <c r="M231" s="0" t="n">
        <v>184.873949579832</v>
      </c>
      <c r="N231" s="0" t="n">
        <v>77602</v>
      </c>
      <c r="O231" s="0" t="n">
        <v>20570</v>
      </c>
      <c r="P231" s="0" t="n">
        <v>1069</v>
      </c>
      <c r="Q231" s="0" t="n">
        <v>119</v>
      </c>
      <c r="R231" s="0" t="n">
        <v>0.918</v>
      </c>
      <c r="S231" s="0" t="n">
        <v>0.005</v>
      </c>
      <c r="T231" s="0" t="s">
        <v>34</v>
      </c>
      <c r="U231" s="0" t="n">
        <v>0.2267</v>
      </c>
      <c r="AA231" s="0" t="s">
        <v>602</v>
      </c>
      <c r="AB231" s="0" t="n">
        <f aca="false">FALSE()</f>
        <v>0</v>
      </c>
      <c r="AC231" s="4" t="s">
        <v>603</v>
      </c>
      <c r="AD231" s="4" t="s">
        <v>356</v>
      </c>
      <c r="AE231" s="4" t="s">
        <v>604</v>
      </c>
    </row>
    <row r="232" customFormat="false" ht="15" hidden="false" customHeight="false" outlineLevel="0" collapsed="false">
      <c r="A232" s="0" t="s">
        <v>31</v>
      </c>
      <c r="B232" s="0" t="n">
        <v>9500</v>
      </c>
      <c r="C232" s="0" t="n">
        <v>18000</v>
      </c>
      <c r="D232" s="0" t="s">
        <v>32</v>
      </c>
      <c r="E232" s="0" t="s">
        <v>33</v>
      </c>
      <c r="F232" s="0" t="n">
        <v>13.9</v>
      </c>
      <c r="G232" s="0" t="n">
        <v>0.568</v>
      </c>
      <c r="H232" s="0" t="n">
        <v>0.03</v>
      </c>
      <c r="I232" s="0" t="n">
        <v>0.9346</v>
      </c>
      <c r="J232" s="0" t="n">
        <v>0.283320904797415</v>
      </c>
      <c r="K232" s="0" t="n">
        <v>3.15844885067556</v>
      </c>
      <c r="L232" s="0" t="n">
        <v>18.8679245283019</v>
      </c>
      <c r="M232" s="0" t="n">
        <v>360</v>
      </c>
      <c r="N232" s="0" t="n">
        <v>20115</v>
      </c>
      <c r="O232" s="0" t="n">
        <v>5699</v>
      </c>
      <c r="P232" s="0" t="n">
        <v>954</v>
      </c>
      <c r="Q232" s="0" t="n">
        <v>50</v>
      </c>
      <c r="R232" s="0" t="n">
        <v>0.416</v>
      </c>
      <c r="S232" s="0" t="n">
        <v>0.213</v>
      </c>
      <c r="T232" s="0" t="s">
        <v>34</v>
      </c>
      <c r="U232" s="0" t="n">
        <v>0.4238</v>
      </c>
      <c r="V232" s="0" t="s">
        <v>313</v>
      </c>
      <c r="W232" s="4" t="s">
        <v>90</v>
      </c>
      <c r="X232" s="0" t="s">
        <v>498</v>
      </c>
      <c r="Y232" s="0" t="s">
        <v>316</v>
      </c>
      <c r="Z232" s="4" t="s">
        <v>605</v>
      </c>
      <c r="AA232" s="0" t="s">
        <v>606</v>
      </c>
      <c r="AB232" s="0" t="n">
        <f aca="false">TRUE()</f>
        <v>1</v>
      </c>
      <c r="AC232" s="4" t="s">
        <v>607</v>
      </c>
      <c r="AD232" s="4" t="s">
        <v>50</v>
      </c>
      <c r="AE232" s="4" t="s">
        <v>608</v>
      </c>
    </row>
    <row r="233" customFormat="false" ht="15" hidden="false" customHeight="false" outlineLevel="0" collapsed="false">
      <c r="AD233" s="4" t="s">
        <v>122</v>
      </c>
      <c r="AE233" s="4" t="s">
        <v>193</v>
      </c>
    </row>
    <row r="234" customFormat="false" ht="15" hidden="false" customHeight="false" outlineLevel="0" collapsed="false">
      <c r="A234" s="0" t="s">
        <v>31</v>
      </c>
      <c r="B234" s="0" t="n">
        <v>15000</v>
      </c>
      <c r="C234" s="0" t="n">
        <v>20000</v>
      </c>
      <c r="D234" s="0" t="s">
        <v>32</v>
      </c>
      <c r="E234" s="0" t="s">
        <v>33</v>
      </c>
      <c r="F234" s="0" t="n">
        <v>23.4</v>
      </c>
      <c r="G234" s="0" t="n">
        <v>0.316</v>
      </c>
      <c r="H234" s="0" t="n">
        <v>0.057</v>
      </c>
      <c r="I234" s="0" t="n">
        <v>0.954</v>
      </c>
      <c r="J234" s="0" t="n">
        <v>0.143988704891356</v>
      </c>
      <c r="K234" s="0" t="n">
        <v>1.66195778627223</v>
      </c>
      <c r="L234" s="0" t="n">
        <v>13.2538104705103</v>
      </c>
      <c r="M234" s="0" t="n">
        <v>1538.46153846154</v>
      </c>
      <c r="N234" s="0" t="n">
        <v>83576</v>
      </c>
      <c r="O234" s="0" t="n">
        <v>12034</v>
      </c>
      <c r="P234" s="0" t="n">
        <v>1509</v>
      </c>
      <c r="Q234" s="0" t="n">
        <v>13</v>
      </c>
      <c r="R234" s="0" t="n">
        <v>0.723</v>
      </c>
      <c r="S234" s="0" t="n">
        <v>0.007</v>
      </c>
      <c r="T234" s="0" t="s">
        <v>34</v>
      </c>
      <c r="U234" s="0" t="n">
        <v>0.0407</v>
      </c>
      <c r="AA234" s="0" t="s">
        <v>609</v>
      </c>
      <c r="AB234" s="0" t="n">
        <f aca="false">FALSE()</f>
        <v>0</v>
      </c>
      <c r="AC234" s="4" t="s">
        <v>610</v>
      </c>
      <c r="AD234" s="4" t="s">
        <v>133</v>
      </c>
      <c r="AE234" s="4" t="s">
        <v>611</v>
      </c>
    </row>
    <row r="235" customFormat="false" ht="15" hidden="false" customHeight="false" outlineLevel="0" collapsed="false">
      <c r="A235" s="0" t="s">
        <v>31</v>
      </c>
      <c r="B235" s="0" t="n">
        <v>48000</v>
      </c>
      <c r="C235" s="0" t="n">
        <v>48000</v>
      </c>
      <c r="D235" s="0" t="s">
        <v>32</v>
      </c>
      <c r="E235" s="0" t="s">
        <v>33</v>
      </c>
      <c r="F235" s="0" t="n">
        <v>49.3</v>
      </c>
      <c r="G235" s="0" t="n">
        <v>0.335</v>
      </c>
      <c r="H235" s="0" t="n">
        <v>0.053</v>
      </c>
      <c r="I235" s="0" t="n">
        <v>0.9331</v>
      </c>
      <c r="J235" s="0" t="n">
        <v>0.273780508163333</v>
      </c>
      <c r="K235" s="0" t="n">
        <v>5.85365853658537</v>
      </c>
      <c r="L235" s="0" t="n">
        <v>53.3333333333333</v>
      </c>
      <c r="N235" s="0" t="n">
        <v>29951</v>
      </c>
      <c r="O235" s="0" t="n">
        <v>8200</v>
      </c>
      <c r="P235" s="0" t="n">
        <v>900</v>
      </c>
      <c r="Q235" s="0" t="s">
        <v>34</v>
      </c>
      <c r="R235" s="0" t="n">
        <v>0.736</v>
      </c>
      <c r="S235" s="0" t="n">
        <v>0.005</v>
      </c>
      <c r="T235" s="0" t="s">
        <v>34</v>
      </c>
      <c r="U235" s="0" t="s">
        <v>34</v>
      </c>
      <c r="AA235" s="0" t="s">
        <v>328</v>
      </c>
      <c r="AB235" s="0" t="n">
        <f aca="false">FALSE()</f>
        <v>0</v>
      </c>
      <c r="AC235" s="4" t="s">
        <v>329</v>
      </c>
      <c r="AD235" s="4" t="s">
        <v>54</v>
      </c>
      <c r="AE235" s="4" t="s">
        <v>429</v>
      </c>
    </row>
    <row r="236" customFormat="false" ht="15" hidden="false" customHeight="false" outlineLevel="0" collapsed="false">
      <c r="A236" s="0" t="s">
        <v>31</v>
      </c>
      <c r="B236" s="0" t="n">
        <v>25000</v>
      </c>
      <c r="C236" s="0" t="n">
        <v>25000</v>
      </c>
      <c r="D236" s="0" t="s">
        <v>32</v>
      </c>
      <c r="E236" s="0" t="s">
        <v>33</v>
      </c>
      <c r="F236" s="0" t="n">
        <v>13.2</v>
      </c>
      <c r="G236" s="0" t="n">
        <v>0.391</v>
      </c>
      <c r="H236" s="0" t="n">
        <v>0.072</v>
      </c>
      <c r="I236" s="0" t="n">
        <v>0.9285</v>
      </c>
      <c r="J236" s="0" t="n">
        <v>0.246209189016894</v>
      </c>
      <c r="K236" s="0" t="n">
        <v>4.62363602737193</v>
      </c>
      <c r="L236" s="0" t="n">
        <v>110.619469026549</v>
      </c>
      <c r="M236" s="0" t="n">
        <v>555.555555555556</v>
      </c>
      <c r="N236" s="0" t="n">
        <v>21961</v>
      </c>
      <c r="O236" s="0" t="n">
        <v>5407</v>
      </c>
      <c r="P236" s="0" t="n">
        <v>226</v>
      </c>
      <c r="Q236" s="0" t="n">
        <v>45</v>
      </c>
      <c r="R236" s="0" t="n">
        <v>0.705</v>
      </c>
      <c r="S236" s="0" t="n">
        <v>0.126</v>
      </c>
      <c r="T236" s="0" t="s">
        <v>34</v>
      </c>
      <c r="U236" s="0" t="n">
        <v>0.2128</v>
      </c>
      <c r="AA236" s="0" t="s">
        <v>229</v>
      </c>
      <c r="AB236" s="0" t="n">
        <f aca="false">FALSE()</f>
        <v>0</v>
      </c>
      <c r="AC236" s="4" t="s">
        <v>230</v>
      </c>
      <c r="AD236" s="4" t="s">
        <v>37</v>
      </c>
      <c r="AE236" s="4" t="s">
        <v>612</v>
      </c>
    </row>
    <row r="237" customFormat="false" ht="15" hidden="false" customHeight="false" outlineLevel="0" collapsed="false">
      <c r="A237" s="0" t="s">
        <v>31</v>
      </c>
      <c r="B237" s="0" t="n">
        <v>45000</v>
      </c>
      <c r="C237" s="0" t="n">
        <v>45000</v>
      </c>
      <c r="D237" s="0" t="s">
        <v>32</v>
      </c>
      <c r="E237" s="0" t="s">
        <v>33</v>
      </c>
      <c r="F237" s="0" t="n">
        <v>27.8</v>
      </c>
      <c r="G237" s="0" t="n">
        <v>0.28</v>
      </c>
      <c r="H237" s="0" t="n">
        <v>0.063</v>
      </c>
      <c r="I237" s="0" t="n">
        <v>0.9214</v>
      </c>
      <c r="J237" s="0" t="n">
        <v>0.32995951417004</v>
      </c>
      <c r="K237" s="0" t="n">
        <v>27.6073619631902</v>
      </c>
      <c r="L237" s="0" t="n">
        <v>131.195335276968</v>
      </c>
      <c r="M237" s="0" t="n">
        <v>494.505494505495</v>
      </c>
      <c r="N237" s="0" t="n">
        <v>4940</v>
      </c>
      <c r="O237" s="0" t="n">
        <v>1630</v>
      </c>
      <c r="P237" s="0" t="n">
        <v>343</v>
      </c>
      <c r="Q237" s="0" t="n">
        <v>91</v>
      </c>
      <c r="R237" s="0" t="n">
        <v>0.177</v>
      </c>
      <c r="S237" s="0" t="n">
        <v>0.156</v>
      </c>
      <c r="T237" s="0" t="s">
        <v>34</v>
      </c>
      <c r="U237" s="0" t="n">
        <v>0.1277</v>
      </c>
      <c r="AA237" s="0" t="s">
        <v>229</v>
      </c>
      <c r="AB237" s="0" t="n">
        <f aca="false">FALSE()</f>
        <v>0</v>
      </c>
      <c r="AC237" s="4" t="s">
        <v>230</v>
      </c>
      <c r="AD237" s="4" t="s">
        <v>37</v>
      </c>
      <c r="AE237" s="4" t="s">
        <v>613</v>
      </c>
    </row>
    <row r="238" customFormat="false" ht="15" hidden="false" customHeight="false" outlineLevel="0" collapsed="false">
      <c r="A238" s="0" t="s">
        <v>31</v>
      </c>
      <c r="B238" s="0" t="n">
        <v>9000</v>
      </c>
      <c r="C238" s="0" t="n">
        <v>9000</v>
      </c>
      <c r="D238" s="0" t="s">
        <v>98</v>
      </c>
      <c r="E238" s="0" t="s">
        <v>44</v>
      </c>
      <c r="F238" s="0" t="n">
        <v>5.3</v>
      </c>
      <c r="G238" s="0" t="n">
        <v>0.314</v>
      </c>
      <c r="H238" s="0" t="n">
        <v>0.049</v>
      </c>
      <c r="I238" s="0" t="n">
        <v>0.9425</v>
      </c>
      <c r="J238" s="0" t="n">
        <v>0.330062140503204</v>
      </c>
      <c r="K238" s="0" t="n">
        <v>0.0828973546533048</v>
      </c>
      <c r="L238" s="0" t="n">
        <v>0.853808936533536</v>
      </c>
      <c r="M238" s="0" t="n">
        <v>257.142857142857</v>
      </c>
      <c r="N238" s="0" t="n">
        <v>328932</v>
      </c>
      <c r="O238" s="0" t="n">
        <v>108568</v>
      </c>
      <c r="P238" s="0" t="n">
        <v>10541</v>
      </c>
      <c r="Q238" s="0" t="n">
        <v>35</v>
      </c>
      <c r="R238" s="0" t="n">
        <v>0.733</v>
      </c>
      <c r="S238" s="0" t="n">
        <v>0.001</v>
      </c>
      <c r="T238" s="0" t="s">
        <v>34</v>
      </c>
      <c r="U238" s="0" t="n">
        <v>0.4384</v>
      </c>
      <c r="AA238" s="0" t="s">
        <v>614</v>
      </c>
      <c r="AB238" s="0" t="n">
        <f aca="false">FALSE()</f>
        <v>0</v>
      </c>
      <c r="AC238" s="0" t="s">
        <v>615</v>
      </c>
      <c r="AD238" s="4" t="s">
        <v>122</v>
      </c>
      <c r="AE238" s="4" t="s">
        <v>616</v>
      </c>
    </row>
    <row r="239" customFormat="false" ht="15" hidden="false" customHeight="false" outlineLevel="0" collapsed="false">
      <c r="A239" s="0" t="s">
        <v>31</v>
      </c>
      <c r="B239" s="0" t="n">
        <v>5000</v>
      </c>
      <c r="C239" s="0" t="n">
        <v>6000</v>
      </c>
      <c r="D239" s="0" t="s">
        <v>39</v>
      </c>
      <c r="E239" s="0" t="s">
        <v>44</v>
      </c>
      <c r="F239" s="0" t="n">
        <v>4</v>
      </c>
      <c r="G239" s="0" t="n">
        <v>0.45</v>
      </c>
      <c r="H239" s="0" t="n">
        <v>0.016</v>
      </c>
      <c r="I239" s="0" t="n">
        <v>0.9641</v>
      </c>
      <c r="J239" s="0" t="n">
        <v>0.10876230434081</v>
      </c>
      <c r="K239" s="0" t="n">
        <v>1.48367952522255</v>
      </c>
      <c r="L239" s="0" t="n">
        <v>28.3018867924528</v>
      </c>
      <c r="N239" s="0" t="n">
        <v>37182</v>
      </c>
      <c r="O239" s="0" t="n">
        <v>4044</v>
      </c>
      <c r="P239" s="0" t="n">
        <v>212</v>
      </c>
      <c r="Q239" s="0" t="s">
        <v>34</v>
      </c>
      <c r="R239" s="0" t="n">
        <v>0.773</v>
      </c>
      <c r="S239" s="0" t="n">
        <v>0.012</v>
      </c>
      <c r="T239" s="0" t="s">
        <v>34</v>
      </c>
      <c r="U239" s="0" t="s">
        <v>34</v>
      </c>
      <c r="AA239" s="0" t="s">
        <v>617</v>
      </c>
      <c r="AB239" s="0" t="n">
        <f aca="false">FALSE()</f>
        <v>0</v>
      </c>
      <c r="AC239" s="4" t="s">
        <v>618</v>
      </c>
      <c r="AD239" s="4" t="s">
        <v>37</v>
      </c>
      <c r="AE239" s="4" t="s">
        <v>619</v>
      </c>
    </row>
    <row r="240" customFormat="false" ht="15" hidden="false" customHeight="false" outlineLevel="0" collapsed="false">
      <c r="A240" s="0" t="s">
        <v>31</v>
      </c>
      <c r="B240" s="0" t="n">
        <v>7000</v>
      </c>
      <c r="C240" s="0" t="n">
        <v>10000</v>
      </c>
      <c r="D240" s="0" t="s">
        <v>39</v>
      </c>
      <c r="E240" s="0" t="s">
        <v>44</v>
      </c>
      <c r="F240" s="0" t="n">
        <v>8.4</v>
      </c>
      <c r="G240" s="0" t="n">
        <v>0.454</v>
      </c>
      <c r="H240" s="0" t="n">
        <v>0.052</v>
      </c>
      <c r="I240" s="0" t="n">
        <v>0.9123</v>
      </c>
      <c r="J240" s="0" t="n">
        <v>0.114694177327617</v>
      </c>
      <c r="K240" s="0" t="n">
        <v>1.48920327624721</v>
      </c>
      <c r="L240" s="0" t="n">
        <v>8.12347684809098</v>
      </c>
      <c r="M240" s="0" t="n">
        <v>10000</v>
      </c>
      <c r="N240" s="0" t="n">
        <v>58547</v>
      </c>
      <c r="O240" s="0" t="n">
        <v>6715</v>
      </c>
      <c r="P240" s="0" t="n">
        <v>1231</v>
      </c>
      <c r="Q240" s="0" t="n">
        <v>1</v>
      </c>
      <c r="R240" s="0" t="n">
        <v>0.733</v>
      </c>
      <c r="S240" s="0" t="n">
        <v>0.04</v>
      </c>
      <c r="T240" s="0" t="s">
        <v>34</v>
      </c>
      <c r="U240" s="0" t="n">
        <v>0.2482</v>
      </c>
      <c r="AA240" s="0" t="s">
        <v>561</v>
      </c>
      <c r="AB240" s="0" t="n">
        <f aca="false">FALSE()</f>
        <v>0</v>
      </c>
      <c r="AC240" s="4" t="s">
        <v>61</v>
      </c>
      <c r="AD240" s="4" t="s">
        <v>62</v>
      </c>
      <c r="AE240" s="4" t="s">
        <v>584</v>
      </c>
    </row>
    <row r="241" customFormat="false" ht="15" hidden="false" customHeight="false" outlineLevel="0" collapsed="false">
      <c r="A241" s="0" t="s">
        <v>31</v>
      </c>
      <c r="B241" s="0" t="n">
        <v>6500</v>
      </c>
      <c r="C241" s="0" t="n">
        <v>11000</v>
      </c>
      <c r="D241" s="0" t="s">
        <v>39</v>
      </c>
      <c r="E241" s="0" t="s">
        <v>33</v>
      </c>
      <c r="F241" s="0" t="n">
        <v>17.7</v>
      </c>
      <c r="G241" s="0" t="n">
        <v>0.791</v>
      </c>
      <c r="H241" s="0" t="n">
        <v>0.041</v>
      </c>
      <c r="I241" s="0" t="n">
        <v>0.9346</v>
      </c>
      <c r="J241" s="0" t="n">
        <v>0.115234509402987</v>
      </c>
      <c r="K241" s="0" t="n">
        <v>0.938406415287493</v>
      </c>
      <c r="L241" s="0" t="n">
        <v>3.58072916666667</v>
      </c>
      <c r="N241" s="0" t="n">
        <v>101723</v>
      </c>
      <c r="O241" s="0" t="n">
        <v>11722</v>
      </c>
      <c r="P241" s="0" t="n">
        <v>3072</v>
      </c>
      <c r="Q241" s="0" t="s">
        <v>34</v>
      </c>
      <c r="R241" s="0" t="n">
        <v>0.89</v>
      </c>
      <c r="S241" s="0" t="n">
        <v>0.017</v>
      </c>
      <c r="T241" s="0" t="s">
        <v>34</v>
      </c>
      <c r="U241" s="0" t="s">
        <v>34</v>
      </c>
      <c r="AA241" s="4" t="s">
        <v>207</v>
      </c>
      <c r="AB241" s="0" t="n">
        <f aca="false">FALSE()</f>
        <v>0</v>
      </c>
      <c r="AC241" s="4" t="s">
        <v>207</v>
      </c>
      <c r="AD241" s="4" t="s">
        <v>122</v>
      </c>
      <c r="AE241" s="4" t="s">
        <v>620</v>
      </c>
    </row>
    <row r="242" customFormat="false" ht="15" hidden="false" customHeight="false" outlineLevel="0" collapsed="false">
      <c r="A242" s="0" t="s">
        <v>31</v>
      </c>
      <c r="B242" s="0" t="n">
        <v>4500</v>
      </c>
      <c r="C242" s="0" t="n">
        <v>7000</v>
      </c>
      <c r="D242" s="0" t="s">
        <v>39</v>
      </c>
      <c r="E242" s="0" t="s">
        <v>44</v>
      </c>
      <c r="F242" s="0" t="n">
        <v>7.2</v>
      </c>
      <c r="G242" s="0" t="n">
        <v>0.621</v>
      </c>
      <c r="H242" s="0" t="n">
        <v>0.024</v>
      </c>
      <c r="I242" s="0" t="n">
        <v>0.9749</v>
      </c>
      <c r="J242" s="0" t="n">
        <v>0.285096108985724</v>
      </c>
      <c r="K242" s="0" t="n">
        <v>0.286380558851205</v>
      </c>
      <c r="L242" s="0" t="n">
        <v>4.28134556574924</v>
      </c>
      <c r="M242" s="0" t="n">
        <v>75.2688172043011</v>
      </c>
      <c r="N242" s="0" t="n">
        <v>85736</v>
      </c>
      <c r="O242" s="0" t="n">
        <v>24443</v>
      </c>
      <c r="P242" s="0" t="n">
        <v>1635</v>
      </c>
      <c r="Q242" s="0" t="n">
        <v>93</v>
      </c>
      <c r="R242" s="0" t="n">
        <v>0.508</v>
      </c>
      <c r="S242" s="0" t="n">
        <v>0.014</v>
      </c>
      <c r="T242" s="0" t="s">
        <v>34</v>
      </c>
      <c r="U242" s="0" t="n">
        <v>0.3506</v>
      </c>
      <c r="AA242" s="4" t="s">
        <v>207</v>
      </c>
      <c r="AB242" s="0" t="n">
        <f aca="false">FALSE()</f>
        <v>0</v>
      </c>
      <c r="AC242" s="4" t="s">
        <v>207</v>
      </c>
      <c r="AD242" s="4" t="s">
        <v>122</v>
      </c>
      <c r="AE242" s="4" t="s">
        <v>320</v>
      </c>
    </row>
    <row r="243" customFormat="false" ht="15" hidden="false" customHeight="false" outlineLevel="0" collapsed="false">
      <c r="A243" s="0" t="s">
        <v>31</v>
      </c>
      <c r="B243" s="0" t="n">
        <v>40000</v>
      </c>
      <c r="C243" s="0" t="n">
        <v>40000</v>
      </c>
      <c r="D243" s="0" t="s">
        <v>39</v>
      </c>
      <c r="E243" s="0" t="s">
        <v>59</v>
      </c>
      <c r="F243" s="0" t="n">
        <v>50.7</v>
      </c>
      <c r="G243" s="0" t="n">
        <v>0.259</v>
      </c>
      <c r="H243" s="0" t="n">
        <v>0.056</v>
      </c>
      <c r="I243" s="0" t="n">
        <v>0.9592</v>
      </c>
      <c r="J243" s="0" t="n">
        <v>0.154564842083883</v>
      </c>
      <c r="K243" s="0" t="n">
        <v>6.57030223390276</v>
      </c>
      <c r="L243" s="0" t="n">
        <v>16.5562913907285</v>
      </c>
      <c r="N243" s="0" t="n">
        <v>39388</v>
      </c>
      <c r="O243" s="0" t="n">
        <v>6088</v>
      </c>
      <c r="P243" s="0" t="n">
        <v>2416</v>
      </c>
      <c r="Q243" s="0" t="s">
        <v>34</v>
      </c>
      <c r="R243" s="0" t="n">
        <v>0.656</v>
      </c>
      <c r="S243" s="0" t="n">
        <v>0.009</v>
      </c>
      <c r="T243" s="0" t="s">
        <v>34</v>
      </c>
      <c r="U243" s="0" t="n">
        <v>0.2948</v>
      </c>
      <c r="AA243" s="4" t="s">
        <v>207</v>
      </c>
      <c r="AB243" s="0" t="n">
        <f aca="false">FALSE()</f>
        <v>0</v>
      </c>
      <c r="AC243" s="4" t="s">
        <v>207</v>
      </c>
      <c r="AD243" s="4" t="s">
        <v>122</v>
      </c>
      <c r="AE243" s="4" t="s">
        <v>621</v>
      </c>
    </row>
    <row r="244" customFormat="false" ht="15" hidden="false" customHeight="false" outlineLevel="0" collapsed="false">
      <c r="AD244" s="4" t="s">
        <v>122</v>
      </c>
      <c r="AE244" s="4" t="s">
        <v>622</v>
      </c>
    </row>
    <row r="245" customFormat="false" ht="15" hidden="false" customHeight="false" outlineLevel="0" collapsed="false">
      <c r="A245" s="0" t="s">
        <v>31</v>
      </c>
      <c r="B245" s="0" t="n">
        <v>10000</v>
      </c>
      <c r="C245" s="0" t="n">
        <v>18000</v>
      </c>
      <c r="D245" s="0" t="s">
        <v>39</v>
      </c>
      <c r="E245" s="0" t="s">
        <v>33</v>
      </c>
      <c r="F245" s="0" t="n">
        <v>12</v>
      </c>
      <c r="G245" s="0" t="n">
        <v>0.289</v>
      </c>
      <c r="H245" s="0" t="n">
        <v>0.069</v>
      </c>
      <c r="I245" s="0" t="n">
        <v>0.8728</v>
      </c>
      <c r="J245" s="0" t="n">
        <v>0.133406521023164</v>
      </c>
      <c r="K245" s="0" t="n">
        <v>1.48123765635286</v>
      </c>
      <c r="L245" s="0" t="n">
        <v>10.8303249097473</v>
      </c>
      <c r="M245" s="0" t="n">
        <v>72.8744939271255</v>
      </c>
      <c r="N245" s="0" t="n">
        <v>91090</v>
      </c>
      <c r="O245" s="0" t="n">
        <v>12152</v>
      </c>
      <c r="P245" s="0" t="n">
        <v>1662</v>
      </c>
      <c r="Q245" s="0" t="n">
        <v>247</v>
      </c>
      <c r="R245" s="0" t="n">
        <v>0.834</v>
      </c>
      <c r="S245" s="0" t="n">
        <v>0.006</v>
      </c>
      <c r="T245" s="0" t="s">
        <v>34</v>
      </c>
      <c r="U245" s="0" t="n">
        <v>0.5072</v>
      </c>
      <c r="AA245" s="4" t="s">
        <v>207</v>
      </c>
      <c r="AB245" s="0" t="n">
        <f aca="false">FALSE()</f>
        <v>0</v>
      </c>
      <c r="AC245" s="4" t="s">
        <v>207</v>
      </c>
      <c r="AD245" s="4" t="s">
        <v>122</v>
      </c>
      <c r="AE245" s="4" t="s">
        <v>623</v>
      </c>
    </row>
    <row r="246" customFormat="false" ht="15" hidden="false" customHeight="false" outlineLevel="0" collapsed="false">
      <c r="A246" s="0" t="s">
        <v>31</v>
      </c>
      <c r="B246" s="0" t="n">
        <v>18000</v>
      </c>
      <c r="C246" s="0" t="n">
        <v>27000</v>
      </c>
      <c r="D246" s="0" t="s">
        <v>39</v>
      </c>
      <c r="E246" s="0" t="s">
        <v>33</v>
      </c>
      <c r="F246" s="0" t="n">
        <v>23.5</v>
      </c>
      <c r="G246" s="0" t="n">
        <v>0.446</v>
      </c>
      <c r="H246" s="0" t="n">
        <v>0.04</v>
      </c>
      <c r="I246" s="0" t="n">
        <v>0.9345</v>
      </c>
      <c r="J246" s="0" t="n">
        <v>0.151854572163055</v>
      </c>
      <c r="K246" s="0" t="n">
        <v>2.17654171704958</v>
      </c>
      <c r="L246" s="0" t="n">
        <v>13.5814889336016</v>
      </c>
      <c r="N246" s="0" t="n">
        <v>81690</v>
      </c>
      <c r="O246" s="0" t="n">
        <v>12405</v>
      </c>
      <c r="P246" s="0" t="n">
        <v>1988</v>
      </c>
      <c r="Q246" s="0" t="s">
        <v>34</v>
      </c>
      <c r="R246" s="0" t="n">
        <v>0.655</v>
      </c>
      <c r="S246" s="0" t="n">
        <v>0.02</v>
      </c>
      <c r="T246" s="0" t="s">
        <v>34</v>
      </c>
      <c r="U246" s="0" t="s">
        <v>34</v>
      </c>
      <c r="AA246" s="0" t="s">
        <v>624</v>
      </c>
      <c r="AB246" s="0" t="n">
        <f aca="false">FALSE()</f>
        <v>0</v>
      </c>
      <c r="AC246" s="4" t="s">
        <v>625</v>
      </c>
      <c r="AD246" s="4" t="s">
        <v>87</v>
      </c>
      <c r="AE246" s="4" t="s">
        <v>626</v>
      </c>
    </row>
    <row r="247" customFormat="false" ht="15" hidden="false" customHeight="false" outlineLevel="0" collapsed="false">
      <c r="A247" s="0" t="s">
        <v>31</v>
      </c>
      <c r="B247" s="0" t="n">
        <v>9000</v>
      </c>
      <c r="C247" s="0" t="n">
        <v>10000</v>
      </c>
      <c r="D247" s="0" t="s">
        <v>39</v>
      </c>
      <c r="E247" s="0" t="s">
        <v>44</v>
      </c>
      <c r="F247" s="0" t="n">
        <v>9.4</v>
      </c>
      <c r="G247" s="0" t="n">
        <v>0.604</v>
      </c>
      <c r="H247" s="0" t="n">
        <v>0.021</v>
      </c>
      <c r="I247" s="0" t="n">
        <v>0.9793</v>
      </c>
      <c r="J247" s="0" t="n">
        <v>0.703931069259608</v>
      </c>
      <c r="K247" s="0" t="n">
        <v>0.155729280219267</v>
      </c>
      <c r="L247" s="0" t="n">
        <v>1.67448091091762</v>
      </c>
      <c r="N247" s="0" t="n">
        <v>91222</v>
      </c>
      <c r="O247" s="0" t="n">
        <v>64214</v>
      </c>
      <c r="P247" s="0" t="n">
        <v>5972</v>
      </c>
      <c r="Q247" s="0" t="s">
        <v>34</v>
      </c>
      <c r="R247" s="0" t="n">
        <v>0.976</v>
      </c>
      <c r="S247" s="0" t="n">
        <v>0.002</v>
      </c>
      <c r="T247" s="0" t="s">
        <v>34</v>
      </c>
      <c r="U247" s="0" t="s">
        <v>34</v>
      </c>
      <c r="AA247" s="0" t="s">
        <v>627</v>
      </c>
      <c r="AB247" s="0" t="n">
        <f aca="false">FALSE()</f>
        <v>0</v>
      </c>
      <c r="AC247" s="4" t="s">
        <v>628</v>
      </c>
      <c r="AD247" s="4" t="s">
        <v>54</v>
      </c>
      <c r="AE247" s="4" t="s">
        <v>629</v>
      </c>
    </row>
    <row r="248" customFormat="false" ht="15" hidden="false" customHeight="false" outlineLevel="0" collapsed="false">
      <c r="A248" s="0" t="s">
        <v>31</v>
      </c>
      <c r="B248" s="0" t="n">
        <v>8000</v>
      </c>
      <c r="C248" s="0" t="n">
        <v>9000</v>
      </c>
      <c r="D248" s="0" t="s">
        <v>32</v>
      </c>
      <c r="E248" s="0" t="s">
        <v>44</v>
      </c>
      <c r="F248" s="0" t="n">
        <v>9.6</v>
      </c>
      <c r="G248" s="0" t="n">
        <v>0.481</v>
      </c>
      <c r="H248" s="0" t="n">
        <v>0.044</v>
      </c>
      <c r="I248" s="0" t="n">
        <v>0.7052</v>
      </c>
      <c r="J248" s="0" t="n">
        <v>0.180018552509523</v>
      </c>
      <c r="K248" s="0" t="n">
        <v>0.9867339107554</v>
      </c>
      <c r="L248" s="0" t="n">
        <v>8.47457627118644</v>
      </c>
      <c r="M248" s="0" t="n">
        <v>1800</v>
      </c>
      <c r="N248" s="0" t="n">
        <v>50667</v>
      </c>
      <c r="O248" s="0" t="n">
        <v>9121</v>
      </c>
      <c r="P248" s="0" t="n">
        <v>1062</v>
      </c>
      <c r="Q248" s="0" t="n">
        <v>5</v>
      </c>
      <c r="R248" s="0" t="n">
        <v>0.94</v>
      </c>
      <c r="S248" s="0" t="n">
        <v>0.003</v>
      </c>
      <c r="T248" s="0" t="s">
        <v>34</v>
      </c>
      <c r="U248" s="0" t="n">
        <v>0.1168</v>
      </c>
      <c r="AA248" s="0" t="s">
        <v>630</v>
      </c>
      <c r="AB248" s="0" t="n">
        <f aca="false">FALSE()</f>
        <v>0</v>
      </c>
      <c r="AC248" s="4" t="s">
        <v>631</v>
      </c>
      <c r="AD248" s="4" t="s">
        <v>133</v>
      </c>
      <c r="AE248" s="4" t="s">
        <v>632</v>
      </c>
    </row>
    <row r="249" customFormat="false" ht="15" hidden="false" customHeight="false" outlineLevel="0" collapsed="false">
      <c r="A249" s="0" t="s">
        <v>31</v>
      </c>
      <c r="B249" s="0" t="n">
        <v>9650</v>
      </c>
      <c r="C249" s="0" t="n">
        <v>9650</v>
      </c>
      <c r="D249" s="0" t="s">
        <v>32</v>
      </c>
      <c r="E249" s="0" t="s">
        <v>44</v>
      </c>
      <c r="F249" s="0" t="n">
        <v>8.3</v>
      </c>
      <c r="G249" s="0" t="n">
        <v>0.235</v>
      </c>
      <c r="H249" s="0" t="n">
        <v>0.043</v>
      </c>
      <c r="I249" s="0" t="n">
        <v>0.9494</v>
      </c>
      <c r="J249" s="0" t="n">
        <v>0.166618202965978</v>
      </c>
      <c r="K249" s="0" t="n">
        <v>1.20294190974819</v>
      </c>
      <c r="L249" s="0" t="n">
        <v>11.6265060240964</v>
      </c>
      <c r="M249" s="0" t="n">
        <v>139.855072463768</v>
      </c>
      <c r="N249" s="0" t="n">
        <v>48146</v>
      </c>
      <c r="O249" s="0" t="n">
        <v>8022</v>
      </c>
      <c r="P249" s="0" t="n">
        <v>830</v>
      </c>
      <c r="Q249" s="0" t="n">
        <v>69</v>
      </c>
      <c r="R249" s="0" t="n">
        <v>0.875</v>
      </c>
      <c r="S249" s="0" t="n">
        <v>0.004</v>
      </c>
      <c r="T249" s="0" t="n">
        <v>0.1975</v>
      </c>
      <c r="U249" s="0" t="s">
        <v>34</v>
      </c>
      <c r="AA249" s="0" t="s">
        <v>633</v>
      </c>
      <c r="AB249" s="0" t="n">
        <f aca="false">FALSE()</f>
        <v>0</v>
      </c>
      <c r="AC249" s="4" t="s">
        <v>634</v>
      </c>
      <c r="AD249" s="4" t="s">
        <v>126</v>
      </c>
      <c r="AE249" s="4" t="s">
        <v>635</v>
      </c>
    </row>
    <row r="250" customFormat="false" ht="15" hidden="false" customHeight="false" outlineLevel="0" collapsed="false">
      <c r="A250" s="0" t="s">
        <v>31</v>
      </c>
      <c r="B250" s="0" t="n">
        <v>24000</v>
      </c>
      <c r="C250" s="0" t="n">
        <v>35000</v>
      </c>
      <c r="D250" s="0" t="s">
        <v>39</v>
      </c>
      <c r="E250" s="0" t="s">
        <v>33</v>
      </c>
      <c r="F250" s="0" t="n">
        <v>42.6</v>
      </c>
      <c r="G250" s="0" t="n">
        <v>0.252</v>
      </c>
      <c r="H250" s="0" t="n">
        <v>0.059</v>
      </c>
      <c r="I250" s="0" t="n">
        <v>0.9063</v>
      </c>
      <c r="J250" s="0" t="n">
        <v>0.522348488311498</v>
      </c>
      <c r="K250" s="0" t="n">
        <v>0.612584230331671</v>
      </c>
      <c r="L250" s="0" t="n">
        <v>14.6504813729594</v>
      </c>
      <c r="M250" s="0" t="n">
        <v>282.258064516129</v>
      </c>
      <c r="N250" s="0" t="n">
        <v>109381</v>
      </c>
      <c r="O250" s="0" t="n">
        <v>57135</v>
      </c>
      <c r="P250" s="0" t="n">
        <v>2389</v>
      </c>
      <c r="Q250" s="0" t="n">
        <v>124</v>
      </c>
      <c r="R250" s="0" t="n">
        <v>0.788</v>
      </c>
      <c r="S250" s="0" t="n">
        <v>0.001</v>
      </c>
      <c r="T250" s="0" t="s">
        <v>34</v>
      </c>
      <c r="U250" s="0" t="n">
        <v>0.2407</v>
      </c>
      <c r="AA250" s="0" t="s">
        <v>355</v>
      </c>
      <c r="AB250" s="0" t="n">
        <f aca="false">FALSE()</f>
        <v>0</v>
      </c>
      <c r="AC250" s="4" t="s">
        <v>356</v>
      </c>
      <c r="AD250" s="4" t="s">
        <v>356</v>
      </c>
      <c r="AE250" s="4" t="s">
        <v>636</v>
      </c>
    </row>
    <row r="251" customFormat="false" ht="15" hidden="false" customHeight="false" outlineLevel="0" collapsed="false">
      <c r="A251" s="0" t="s">
        <v>31</v>
      </c>
      <c r="B251" s="0" t="n">
        <v>46000</v>
      </c>
      <c r="C251" s="0" t="n">
        <v>59800</v>
      </c>
      <c r="D251" s="0" t="s">
        <v>32</v>
      </c>
      <c r="E251" s="0" t="s">
        <v>99</v>
      </c>
      <c r="F251" s="0" t="n">
        <v>148.4</v>
      </c>
      <c r="G251" s="0" t="n">
        <v>0.607</v>
      </c>
      <c r="H251" s="0" t="n">
        <v>0.017</v>
      </c>
      <c r="I251" s="0" t="n">
        <v>0.9844</v>
      </c>
      <c r="J251" s="0" t="n">
        <v>0.110234219480171</v>
      </c>
      <c r="K251" s="0" t="n">
        <v>7.65881147540984</v>
      </c>
      <c r="L251" s="0" t="n">
        <v>23.2233009708738</v>
      </c>
      <c r="N251" s="0" t="n">
        <v>70831</v>
      </c>
      <c r="O251" s="0" t="n">
        <v>7808</v>
      </c>
      <c r="P251" s="0" t="n">
        <v>2575</v>
      </c>
      <c r="Q251" s="0" t="s">
        <v>34</v>
      </c>
      <c r="R251" s="0" t="n">
        <v>0.568</v>
      </c>
      <c r="S251" s="0" t="n">
        <v>0.055</v>
      </c>
      <c r="T251" s="0" t="s">
        <v>34</v>
      </c>
      <c r="U251" s="0" t="n">
        <v>0.0141</v>
      </c>
      <c r="AA251" s="4" t="s">
        <v>207</v>
      </c>
      <c r="AB251" s="0" t="n">
        <f aca="false">FALSE()</f>
        <v>0</v>
      </c>
      <c r="AC251" s="4" t="s">
        <v>207</v>
      </c>
      <c r="AD251" s="4" t="s">
        <v>122</v>
      </c>
      <c r="AE251" s="4" t="s">
        <v>637</v>
      </c>
    </row>
    <row r="252" customFormat="false" ht="15" hidden="false" customHeight="false" outlineLevel="0" collapsed="false">
      <c r="A252" s="0" t="s">
        <v>31</v>
      </c>
      <c r="B252" s="0" t="n">
        <v>28800</v>
      </c>
      <c r="C252" s="0" t="n">
        <v>36000</v>
      </c>
      <c r="D252" s="0" t="s">
        <v>32</v>
      </c>
      <c r="E252" s="0" t="s">
        <v>59</v>
      </c>
      <c r="F252" s="0" t="n">
        <v>61.9</v>
      </c>
      <c r="G252" s="0" t="n">
        <v>0.268</v>
      </c>
      <c r="H252" s="0" t="n">
        <v>0.066</v>
      </c>
      <c r="I252" s="0" t="n">
        <v>0.9225</v>
      </c>
      <c r="J252" s="0" t="n">
        <v>0.359590250794772</v>
      </c>
      <c r="K252" s="0" t="n">
        <v>1.86123461896391</v>
      </c>
      <c r="L252" s="0" t="n">
        <v>12.2199592668024</v>
      </c>
      <c r="N252" s="0" t="n">
        <v>53789</v>
      </c>
      <c r="O252" s="0" t="n">
        <v>19342</v>
      </c>
      <c r="P252" s="0" t="n">
        <v>2946</v>
      </c>
      <c r="Q252" s="0" t="s">
        <v>34</v>
      </c>
      <c r="R252" s="0" t="n">
        <v>0.841</v>
      </c>
      <c r="S252" s="0" t="n">
        <v>0.004</v>
      </c>
      <c r="T252" s="0" t="s">
        <v>34</v>
      </c>
      <c r="U252" s="0" t="n">
        <v>0.0465</v>
      </c>
      <c r="AA252" s="4" t="s">
        <v>207</v>
      </c>
      <c r="AB252" s="0" t="n">
        <f aca="false">FALSE()</f>
        <v>0</v>
      </c>
      <c r="AC252" s="4" t="s">
        <v>207</v>
      </c>
      <c r="AD252" s="4" t="s">
        <v>122</v>
      </c>
      <c r="AE252" s="4" t="s">
        <v>621</v>
      </c>
    </row>
    <row r="253" customFormat="false" ht="15" hidden="false" customHeight="false" outlineLevel="0" collapsed="false">
      <c r="A253" s="0" t="s">
        <v>31</v>
      </c>
      <c r="B253" s="0" t="n">
        <v>4000</v>
      </c>
      <c r="C253" s="0" t="n">
        <v>5400</v>
      </c>
      <c r="D253" s="0" t="s">
        <v>39</v>
      </c>
      <c r="E253" s="0" t="s">
        <v>44</v>
      </c>
      <c r="F253" s="0" t="n">
        <v>5.2</v>
      </c>
      <c r="G253" s="0" t="n">
        <v>0.41</v>
      </c>
      <c r="H253" s="0" t="n">
        <v>0.052</v>
      </c>
      <c r="I253" s="0" t="n">
        <v>0.8906</v>
      </c>
      <c r="J253" s="0" t="n">
        <v>0.117191429433659</v>
      </c>
      <c r="K253" s="0" t="n">
        <v>4.63519313304721</v>
      </c>
      <c r="L253" s="0" t="n">
        <v>85.7142857142857</v>
      </c>
      <c r="N253" s="0" t="n">
        <v>9941</v>
      </c>
      <c r="O253" s="0" t="n">
        <v>1165</v>
      </c>
      <c r="P253" s="0" t="n">
        <v>63</v>
      </c>
      <c r="Q253" s="0" t="s">
        <v>34</v>
      </c>
      <c r="R253" s="0" t="n">
        <v>0.648</v>
      </c>
      <c r="S253" s="0" t="n">
        <v>0.015</v>
      </c>
      <c r="T253" s="0" t="s">
        <v>34</v>
      </c>
      <c r="U253" s="0" t="n">
        <v>0.0352</v>
      </c>
      <c r="AA253" s="0" t="s">
        <v>534</v>
      </c>
      <c r="AB253" s="0" t="n">
        <f aca="false">FALSE()</f>
        <v>0</v>
      </c>
      <c r="AC253" s="4" t="s">
        <v>535</v>
      </c>
      <c r="AD253" s="4" t="s">
        <v>87</v>
      </c>
      <c r="AE253" s="4" t="s">
        <v>547</v>
      </c>
    </row>
    <row r="254" customFormat="false" ht="15" hidden="false" customHeight="false" outlineLevel="0" collapsed="false">
      <c r="A254" s="0" t="s">
        <v>31</v>
      </c>
      <c r="B254" s="0" t="n">
        <v>3800</v>
      </c>
      <c r="C254" s="0" t="n">
        <v>4500</v>
      </c>
      <c r="D254" s="0" t="s">
        <v>32</v>
      </c>
      <c r="E254" s="0" t="s">
        <v>44</v>
      </c>
      <c r="F254" s="0" t="n">
        <v>3.3</v>
      </c>
      <c r="G254" s="0" t="n">
        <v>0.392</v>
      </c>
      <c r="H254" s="0" t="n">
        <v>0.039</v>
      </c>
      <c r="I254" s="0" t="n">
        <v>0.8563</v>
      </c>
      <c r="J254" s="0" t="n">
        <v>0.110510805500982</v>
      </c>
      <c r="K254" s="0" t="n">
        <v>2.11111111111111</v>
      </c>
      <c r="L254" s="0" t="n">
        <v>6.47359454855196</v>
      </c>
      <c r="M254" s="0" t="n">
        <v>30.6451612903226</v>
      </c>
      <c r="N254" s="0" t="n">
        <v>16288</v>
      </c>
      <c r="O254" s="0" t="n">
        <v>1800</v>
      </c>
      <c r="P254" s="0" t="n">
        <v>587</v>
      </c>
      <c r="Q254" s="0" t="n">
        <v>124</v>
      </c>
      <c r="R254" s="0" t="n">
        <v>0.686</v>
      </c>
      <c r="S254" s="0" t="n">
        <v>0.006</v>
      </c>
      <c r="T254" s="0" t="n">
        <v>0.2466</v>
      </c>
      <c r="U254" s="0" t="s">
        <v>34</v>
      </c>
      <c r="AA254" s="0" t="s">
        <v>638</v>
      </c>
      <c r="AB254" s="0" t="n">
        <f aca="false">FALSE()</f>
        <v>0</v>
      </c>
      <c r="AC254" s="4" t="s">
        <v>639</v>
      </c>
      <c r="AD254" s="4" t="s">
        <v>62</v>
      </c>
      <c r="AE254" s="4" t="s">
        <v>640</v>
      </c>
    </row>
    <row r="255" customFormat="false" ht="15" hidden="false" customHeight="false" outlineLevel="0" collapsed="false">
      <c r="AD255" s="4" t="s">
        <v>122</v>
      </c>
      <c r="AE255" s="4" t="s">
        <v>193</v>
      </c>
    </row>
    <row r="256" customFormat="false" ht="15" hidden="false" customHeight="false" outlineLevel="0" collapsed="false">
      <c r="A256" s="0" t="s">
        <v>31</v>
      </c>
      <c r="B256" s="0" t="n">
        <v>4800</v>
      </c>
      <c r="C256" s="0" t="n">
        <v>3600</v>
      </c>
      <c r="D256" s="0" t="s">
        <v>32</v>
      </c>
      <c r="E256" s="0" t="s">
        <v>44</v>
      </c>
      <c r="F256" s="0" t="n">
        <v>9.8</v>
      </c>
      <c r="G256" s="0" t="n">
        <v>0.095</v>
      </c>
      <c r="H256" s="0" t="n">
        <v>0.028</v>
      </c>
      <c r="I256" s="0" t="n">
        <v>0.9784</v>
      </c>
      <c r="J256" s="0" t="n">
        <v>0.162993278156294</v>
      </c>
      <c r="K256" s="0" t="n">
        <v>0.673306214055267</v>
      </c>
      <c r="L256" s="0" t="n">
        <v>16.6666666666667</v>
      </c>
      <c r="N256" s="0" t="n">
        <v>43738</v>
      </c>
      <c r="O256" s="0" t="n">
        <v>7129</v>
      </c>
      <c r="P256" s="0" t="n">
        <v>288</v>
      </c>
      <c r="Q256" s="0" t="s">
        <v>34</v>
      </c>
      <c r="R256" s="0" t="n">
        <v>0.415</v>
      </c>
      <c r="S256" s="0" t="n">
        <v>0.181</v>
      </c>
      <c r="T256" s="0" t="s">
        <v>34</v>
      </c>
      <c r="U256" s="0" t="s">
        <v>34</v>
      </c>
      <c r="AA256" s="4" t="s">
        <v>207</v>
      </c>
      <c r="AB256" s="0" t="n">
        <f aca="false">FALSE()</f>
        <v>0</v>
      </c>
      <c r="AC256" s="4" t="s">
        <v>207</v>
      </c>
      <c r="AD256" s="4" t="s">
        <v>122</v>
      </c>
      <c r="AE256" s="4" t="s">
        <v>641</v>
      </c>
    </row>
    <row r="257" customFormat="false" ht="15" hidden="false" customHeight="false" outlineLevel="0" collapsed="false">
      <c r="A257" s="0" t="s">
        <v>31</v>
      </c>
      <c r="B257" s="0" t="s">
        <v>43</v>
      </c>
      <c r="C257" s="0" t="n">
        <v>20000</v>
      </c>
      <c r="D257" s="0" t="s">
        <v>32</v>
      </c>
      <c r="E257" s="0" t="s">
        <v>33</v>
      </c>
      <c r="F257" s="0" t="n">
        <v>23.2</v>
      </c>
      <c r="G257" s="0" t="n">
        <v>0.434</v>
      </c>
      <c r="H257" s="0" t="n">
        <v>0.024</v>
      </c>
      <c r="I257" s="0" t="n">
        <v>0.9634</v>
      </c>
      <c r="J257" s="0" t="n">
        <v>0.0883896744878374</v>
      </c>
      <c r="K257" s="0" t="n">
        <v>4.43164192333259</v>
      </c>
      <c r="L257" s="0" t="n">
        <v>17.4520069808028</v>
      </c>
      <c r="M257" s="0" t="n">
        <v>178.571428571429</v>
      </c>
      <c r="N257" s="0" t="n">
        <v>51058</v>
      </c>
      <c r="O257" s="0" t="n">
        <v>4513</v>
      </c>
      <c r="P257" s="0" t="n">
        <v>1146</v>
      </c>
      <c r="Q257" s="0" t="n">
        <v>112</v>
      </c>
      <c r="R257" s="0" t="n">
        <v>0.791</v>
      </c>
      <c r="S257" s="0" t="n">
        <v>0.007</v>
      </c>
      <c r="T257" s="0" t="s">
        <v>34</v>
      </c>
      <c r="U257" s="0" t="n">
        <v>0.0996</v>
      </c>
      <c r="AA257" s="0" t="s">
        <v>642</v>
      </c>
      <c r="AB257" s="0" t="n">
        <f aca="false">FALSE()</f>
        <v>0</v>
      </c>
      <c r="AC257" s="4" t="s">
        <v>643</v>
      </c>
      <c r="AD257" s="4" t="s">
        <v>37</v>
      </c>
      <c r="AE257" s="4" t="s">
        <v>644</v>
      </c>
    </row>
    <row r="258" customFormat="false" ht="15" hidden="false" customHeight="false" outlineLevel="0" collapsed="false">
      <c r="A258" s="0" t="s">
        <v>31</v>
      </c>
      <c r="B258" s="0" t="n">
        <v>40000</v>
      </c>
      <c r="C258" s="0" t="n">
        <v>115000</v>
      </c>
      <c r="D258" s="0" t="s">
        <v>32</v>
      </c>
      <c r="E258" s="0" t="s">
        <v>59</v>
      </c>
      <c r="F258" s="0" t="n">
        <v>58.3</v>
      </c>
      <c r="G258" s="0" t="n">
        <v>0.387</v>
      </c>
      <c r="H258" s="0" t="n">
        <v>0.026</v>
      </c>
      <c r="I258" s="0" t="n">
        <v>0.9831</v>
      </c>
      <c r="J258" s="0" t="n">
        <v>0.18526481781929</v>
      </c>
      <c r="K258" s="0" t="n">
        <v>1.88240686178223</v>
      </c>
      <c r="L258" s="0" t="n">
        <v>21.2530031417483</v>
      </c>
      <c r="M258" s="0" t="n">
        <v>13.2656592455877</v>
      </c>
      <c r="N258" s="0" t="n">
        <v>329755</v>
      </c>
      <c r="O258" s="0" t="n">
        <v>61092</v>
      </c>
      <c r="P258" s="0" t="n">
        <v>5411</v>
      </c>
      <c r="Q258" s="0" t="n">
        <v>8669</v>
      </c>
      <c r="R258" s="0" t="n">
        <v>0.435</v>
      </c>
      <c r="S258" s="0" t="n">
        <v>0.006</v>
      </c>
      <c r="T258" s="0" t="s">
        <v>34</v>
      </c>
      <c r="U258" s="0" t="n">
        <v>0.6205</v>
      </c>
      <c r="AA258" s="4" t="s">
        <v>207</v>
      </c>
      <c r="AB258" s="0" t="n">
        <f aca="false">FALSE()</f>
        <v>0</v>
      </c>
      <c r="AC258" s="4" t="s">
        <v>207</v>
      </c>
      <c r="AD258" s="4" t="s">
        <v>122</v>
      </c>
      <c r="AE258" s="4" t="s">
        <v>645</v>
      </c>
    </row>
    <row r="259" customFormat="false" ht="15" hidden="false" customHeight="false" outlineLevel="0" collapsed="false">
      <c r="A259" s="0" t="s">
        <v>31</v>
      </c>
      <c r="B259" s="0" t="n">
        <v>3000</v>
      </c>
      <c r="C259" s="0" t="n">
        <v>3000</v>
      </c>
      <c r="D259" s="0" t="s">
        <v>32</v>
      </c>
      <c r="E259" s="0" t="s">
        <v>44</v>
      </c>
      <c r="F259" s="0" t="n">
        <v>4</v>
      </c>
      <c r="G259" s="0" t="n">
        <v>0.473</v>
      </c>
      <c r="H259" s="0" t="n">
        <v>0.024</v>
      </c>
      <c r="I259" s="0" t="n">
        <v>0.9406</v>
      </c>
      <c r="J259" s="0" t="n">
        <v>0.146558530108376</v>
      </c>
      <c r="K259" s="0" t="n">
        <v>1.46914789422135</v>
      </c>
      <c r="L259" s="0" t="n">
        <v>10.9090909090909</v>
      </c>
      <c r="M259" s="0" t="n">
        <v>600</v>
      </c>
      <c r="N259" s="0" t="n">
        <v>13933</v>
      </c>
      <c r="O259" s="0" t="n">
        <v>2042</v>
      </c>
      <c r="P259" s="0" t="n">
        <v>275</v>
      </c>
      <c r="Q259" s="0" t="n">
        <v>5</v>
      </c>
      <c r="R259" s="0" t="n">
        <v>0.826</v>
      </c>
      <c r="S259" s="0" t="n">
        <v>0.048</v>
      </c>
      <c r="T259" s="0" t="n">
        <v>0.1069</v>
      </c>
      <c r="U259" s="0" t="s">
        <v>34</v>
      </c>
      <c r="AA259" s="0" t="s">
        <v>646</v>
      </c>
      <c r="AB259" s="0" t="n">
        <f aca="false">FALSE()</f>
        <v>0</v>
      </c>
      <c r="AC259" s="4" t="s">
        <v>647</v>
      </c>
      <c r="AD259" s="4" t="s">
        <v>37</v>
      </c>
      <c r="AE259" s="4" t="s">
        <v>648</v>
      </c>
    </row>
    <row r="260" customFormat="false" ht="15" hidden="false" customHeight="false" outlineLevel="0" collapsed="false">
      <c r="A260" s="0" t="s">
        <v>31</v>
      </c>
      <c r="B260" s="0" t="n">
        <v>10000</v>
      </c>
      <c r="C260" s="0" t="n">
        <v>18000</v>
      </c>
      <c r="D260" s="0" t="s">
        <v>32</v>
      </c>
      <c r="E260" s="0" t="s">
        <v>33</v>
      </c>
      <c r="F260" s="0" t="n">
        <v>15.8</v>
      </c>
      <c r="G260" s="0" t="n">
        <v>0.483</v>
      </c>
      <c r="H260" s="0" t="n">
        <v>0.033</v>
      </c>
      <c r="I260" s="0" t="n">
        <v>0.9714</v>
      </c>
      <c r="J260" s="0" t="n">
        <v>0.138865460481567</v>
      </c>
      <c r="K260" s="0" t="n">
        <v>3.52664576802508</v>
      </c>
      <c r="L260" s="0" t="n">
        <v>17.7690029615005</v>
      </c>
      <c r="M260" s="0" t="n">
        <v>54.2168674698795</v>
      </c>
      <c r="N260" s="0" t="n">
        <v>36755</v>
      </c>
      <c r="O260" s="0" t="n">
        <v>5104</v>
      </c>
      <c r="P260" s="0" t="n">
        <v>1013</v>
      </c>
      <c r="Q260" s="0" t="n">
        <v>332</v>
      </c>
      <c r="R260" s="0" t="n">
        <v>0.641</v>
      </c>
      <c r="S260" s="0" t="n">
        <v>0.029</v>
      </c>
      <c r="T260" s="0" t="n">
        <v>0.3534</v>
      </c>
      <c r="U260" s="0" t="s">
        <v>34</v>
      </c>
      <c r="AA260" s="0" t="s">
        <v>649</v>
      </c>
      <c r="AB260" s="0" t="n">
        <f aca="false">FALSE()</f>
        <v>0</v>
      </c>
      <c r="AC260" s="4" t="s">
        <v>650</v>
      </c>
      <c r="AD260" s="4" t="s">
        <v>126</v>
      </c>
      <c r="AE260" s="4" t="s">
        <v>651</v>
      </c>
    </row>
    <row r="261" customFormat="false" ht="15" hidden="false" customHeight="false" outlineLevel="0" collapsed="false">
      <c r="A261" s="0" t="s">
        <v>31</v>
      </c>
      <c r="B261" s="0" t="n">
        <v>6000</v>
      </c>
      <c r="C261" s="0" t="s">
        <v>43</v>
      </c>
      <c r="D261" s="0" t="s">
        <v>32</v>
      </c>
      <c r="E261" s="0" t="s">
        <v>44</v>
      </c>
      <c r="F261" s="0" t="n">
        <v>5.5</v>
      </c>
      <c r="G261" s="0" t="n">
        <v>0.35</v>
      </c>
      <c r="H261" s="0" t="n">
        <v>0.055</v>
      </c>
      <c r="I261" s="0" t="n">
        <v>0.9468</v>
      </c>
      <c r="J261" s="0" t="n">
        <v>0.256807187284036</v>
      </c>
      <c r="K261" s="0" t="n">
        <v>1.61463939720129</v>
      </c>
      <c r="L261" s="0" t="n">
        <v>8.16326530612245</v>
      </c>
      <c r="M261" s="0" t="n">
        <v>43.7956204379562</v>
      </c>
      <c r="N261" s="0" t="n">
        <v>14470</v>
      </c>
      <c r="O261" s="0" t="n">
        <v>3716</v>
      </c>
      <c r="P261" s="0" t="n">
        <v>735</v>
      </c>
      <c r="Q261" s="0" t="n">
        <v>137</v>
      </c>
      <c r="R261" s="0" t="n">
        <v>0.615</v>
      </c>
      <c r="S261" s="0" t="n">
        <v>0.078</v>
      </c>
      <c r="T261" s="0" t="n">
        <v>0.2628</v>
      </c>
      <c r="U261" s="0" t="s">
        <v>34</v>
      </c>
      <c r="AA261" s="0" t="s">
        <v>507</v>
      </c>
      <c r="AB261" s="0" t="n">
        <f aca="false">FALSE()</f>
        <v>0</v>
      </c>
      <c r="AC261" s="4" t="s">
        <v>508</v>
      </c>
      <c r="AD261" s="4" t="s">
        <v>37</v>
      </c>
      <c r="AE261" s="4" t="s">
        <v>652</v>
      </c>
    </row>
    <row r="262" customFormat="false" ht="15" hidden="false" customHeight="false" outlineLevel="0" collapsed="false">
      <c r="A262" s="0" t="s">
        <v>31</v>
      </c>
      <c r="B262" s="0" t="n">
        <v>5000</v>
      </c>
      <c r="C262" s="0" t="n">
        <v>6000</v>
      </c>
      <c r="D262" s="0" t="s">
        <v>32</v>
      </c>
      <c r="E262" s="0" t="s">
        <v>44</v>
      </c>
      <c r="F262" s="0" t="n">
        <v>3.5</v>
      </c>
      <c r="G262" s="0" t="n">
        <v>0.313</v>
      </c>
      <c r="H262" s="0" t="n">
        <v>0.012</v>
      </c>
      <c r="I262" s="0" t="n">
        <v>0.9825</v>
      </c>
      <c r="J262" s="0" t="n">
        <v>0.195416030618792</v>
      </c>
      <c r="K262" s="0" t="n">
        <v>0.566059096569682</v>
      </c>
      <c r="L262" s="0" t="n">
        <v>14.0845070422535</v>
      </c>
      <c r="M262" s="0" t="n">
        <v>46.2962962962963</v>
      </c>
      <c r="N262" s="0" t="n">
        <v>45201</v>
      </c>
      <c r="O262" s="0" t="n">
        <v>8833</v>
      </c>
      <c r="P262" s="0" t="n">
        <v>355</v>
      </c>
      <c r="Q262" s="0" t="n">
        <v>108</v>
      </c>
      <c r="R262" s="0" t="n">
        <v>0.951</v>
      </c>
      <c r="S262" s="0" t="n">
        <v>0.002</v>
      </c>
      <c r="T262" s="0" t="n">
        <v>0.2199</v>
      </c>
      <c r="U262" s="0" t="s">
        <v>34</v>
      </c>
      <c r="AA262" s="0" t="s">
        <v>649</v>
      </c>
      <c r="AB262" s="0" t="n">
        <f aca="false">FALSE()</f>
        <v>0</v>
      </c>
      <c r="AC262" s="4" t="s">
        <v>650</v>
      </c>
      <c r="AD262" s="4" t="s">
        <v>126</v>
      </c>
      <c r="AE262" s="4" t="s">
        <v>653</v>
      </c>
    </row>
    <row r="263" customFormat="false" ht="15" hidden="false" customHeight="false" outlineLevel="0" collapsed="false">
      <c r="A263" s="0" t="s">
        <v>31</v>
      </c>
      <c r="B263" s="0" t="n">
        <v>12000</v>
      </c>
      <c r="C263" s="0" t="n">
        <v>15000</v>
      </c>
      <c r="D263" s="0" t="s">
        <v>32</v>
      </c>
      <c r="E263" s="0" t="s">
        <v>33</v>
      </c>
      <c r="F263" s="0" t="n">
        <v>13.2</v>
      </c>
      <c r="G263" s="0" t="n">
        <v>0.311</v>
      </c>
      <c r="H263" s="0" t="n">
        <v>0.051</v>
      </c>
      <c r="I263" s="0" t="n">
        <v>0.9521</v>
      </c>
      <c r="J263" s="0" t="n">
        <v>0.105478687100577</v>
      </c>
      <c r="K263" s="0" t="n">
        <v>8.82352941176471</v>
      </c>
      <c r="L263" s="0" t="n">
        <v>22.7963525835866</v>
      </c>
      <c r="N263" s="0" t="n">
        <v>16117</v>
      </c>
      <c r="O263" s="0" t="n">
        <v>1700</v>
      </c>
      <c r="P263" s="0" t="n">
        <v>658</v>
      </c>
      <c r="Q263" s="0" t="s">
        <v>34</v>
      </c>
      <c r="R263" s="0" t="n">
        <v>0.507</v>
      </c>
      <c r="S263" s="0" t="n">
        <v>0.031</v>
      </c>
      <c r="T263" s="0" t="s">
        <v>34</v>
      </c>
      <c r="U263" s="5" t="s">
        <v>654</v>
      </c>
      <c r="AA263" s="0" t="s">
        <v>597</v>
      </c>
      <c r="AB263" s="0" t="n">
        <f aca="false">FALSE()</f>
        <v>0</v>
      </c>
      <c r="AC263" s="4" t="s">
        <v>598</v>
      </c>
      <c r="AD263" s="4" t="s">
        <v>37</v>
      </c>
      <c r="AE263" s="4" t="s">
        <v>655</v>
      </c>
    </row>
    <row r="264" customFormat="false" ht="15" hidden="false" customHeight="false" outlineLevel="0" collapsed="false">
      <c r="A264" s="0" t="s">
        <v>31</v>
      </c>
      <c r="B264" s="0" t="n">
        <v>38000</v>
      </c>
      <c r="C264" s="0" t="n">
        <v>44000</v>
      </c>
      <c r="D264" s="0" t="s">
        <v>32</v>
      </c>
      <c r="E264" s="0" t="s">
        <v>33</v>
      </c>
      <c r="F264" s="0" t="n">
        <v>44.1</v>
      </c>
      <c r="G264" s="0" t="n">
        <v>0.378</v>
      </c>
      <c r="H264" s="0" t="n">
        <v>0.022</v>
      </c>
      <c r="I264" s="0" t="n">
        <v>0.9759</v>
      </c>
      <c r="J264" s="0" t="n">
        <v>0.104606760061507</v>
      </c>
      <c r="K264" s="0" t="n">
        <v>2.38663484486873</v>
      </c>
      <c r="L264" s="0" t="n">
        <v>19.9004975124378</v>
      </c>
      <c r="M264" s="0" t="n">
        <v>19.8825124265703</v>
      </c>
      <c r="N264" s="0" t="n">
        <v>176241</v>
      </c>
      <c r="O264" s="0" t="n">
        <v>18436</v>
      </c>
      <c r="P264" s="0" t="n">
        <v>2211</v>
      </c>
      <c r="Q264" s="0" t="n">
        <v>2213</v>
      </c>
      <c r="R264" s="0" t="n">
        <v>0.755</v>
      </c>
      <c r="S264" s="0" t="n">
        <v>0.031</v>
      </c>
      <c r="T264" s="0" t="s">
        <v>34</v>
      </c>
      <c r="U264" s="0" t="n">
        <v>0.7055</v>
      </c>
      <c r="AA264" s="0" t="s">
        <v>656</v>
      </c>
      <c r="AB264" s="0" t="n">
        <f aca="false">FALSE()</f>
        <v>0</v>
      </c>
      <c r="AC264" s="4" t="s">
        <v>657</v>
      </c>
      <c r="AD264" s="4" t="s">
        <v>658</v>
      </c>
      <c r="AE264" s="4" t="s">
        <v>659</v>
      </c>
    </row>
    <row r="265" customFormat="false" ht="15" hidden="false" customHeight="false" outlineLevel="0" collapsed="false">
      <c r="A265" s="0" t="s">
        <v>31</v>
      </c>
      <c r="B265" s="0" t="n">
        <v>45000</v>
      </c>
      <c r="C265" s="0" t="n">
        <v>55000</v>
      </c>
      <c r="D265" s="0" t="s">
        <v>32</v>
      </c>
      <c r="E265" s="0" t="s">
        <v>33</v>
      </c>
      <c r="F265" s="0" t="n">
        <v>43.5</v>
      </c>
      <c r="G265" s="0" t="n">
        <v>0.407</v>
      </c>
      <c r="H265" s="0" t="n">
        <v>0.034</v>
      </c>
      <c r="I265" s="0" t="n">
        <v>0.5912</v>
      </c>
      <c r="J265" s="0" t="n">
        <v>0.0848444576564604</v>
      </c>
      <c r="K265" s="0" t="n">
        <v>5.66776586974444</v>
      </c>
      <c r="L265" s="0" t="n">
        <v>22.6337448559671</v>
      </c>
      <c r="N265" s="0" t="n">
        <v>114374</v>
      </c>
      <c r="O265" s="0" t="n">
        <v>9704</v>
      </c>
      <c r="P265" s="0" t="n">
        <v>2430</v>
      </c>
      <c r="Q265" s="0" t="s">
        <v>34</v>
      </c>
      <c r="R265" s="0" t="n">
        <v>0.6</v>
      </c>
      <c r="S265" s="0" t="n">
        <v>0.011</v>
      </c>
      <c r="T265" s="0" t="s">
        <v>34</v>
      </c>
      <c r="U265" s="0" t="s">
        <v>34</v>
      </c>
      <c r="AA265" s="0" t="s">
        <v>507</v>
      </c>
      <c r="AB265" s="0" t="n">
        <f aca="false">FALSE()</f>
        <v>0</v>
      </c>
      <c r="AC265" s="4" t="s">
        <v>508</v>
      </c>
      <c r="AD265" s="4" t="s">
        <v>37</v>
      </c>
      <c r="AE265" s="4" t="s">
        <v>660</v>
      </c>
    </row>
    <row r="266" customFormat="false" ht="15" hidden="false" customHeight="false" outlineLevel="0" collapsed="false">
      <c r="AD266" s="4" t="s">
        <v>122</v>
      </c>
      <c r="AE266" s="4" t="s">
        <v>622</v>
      </c>
    </row>
    <row r="267" customFormat="false" ht="15" hidden="false" customHeight="false" outlineLevel="0" collapsed="false">
      <c r="A267" s="0" t="s">
        <v>31</v>
      </c>
      <c r="B267" s="0" t="n">
        <v>53000</v>
      </c>
      <c r="C267" s="0" t="n">
        <v>63000</v>
      </c>
      <c r="D267" s="0" t="s">
        <v>39</v>
      </c>
      <c r="E267" s="0" t="s">
        <v>59</v>
      </c>
      <c r="F267" s="0" t="n">
        <v>56.8</v>
      </c>
      <c r="G267" s="0" t="n">
        <v>0.488</v>
      </c>
      <c r="H267" s="0" t="n">
        <v>0.021</v>
      </c>
      <c r="I267" s="0" t="n">
        <v>0.9691</v>
      </c>
      <c r="J267" s="0" t="n">
        <v>0.166822208502635</v>
      </c>
      <c r="K267" s="0" t="n">
        <v>2.71107668474051</v>
      </c>
      <c r="L267" s="0" t="n">
        <v>32.258064516129</v>
      </c>
      <c r="M267" s="0" t="n">
        <v>900</v>
      </c>
      <c r="N267" s="0" t="n">
        <v>139298</v>
      </c>
      <c r="O267" s="0" t="n">
        <v>23238</v>
      </c>
      <c r="P267" s="0" t="n">
        <v>1953</v>
      </c>
      <c r="Q267" s="0" t="n">
        <v>70</v>
      </c>
      <c r="R267" s="0" t="n">
        <v>0.602</v>
      </c>
      <c r="S267" s="0" t="n">
        <v>0.016</v>
      </c>
      <c r="T267" s="0" t="s">
        <v>34</v>
      </c>
      <c r="U267" s="0" t="n">
        <v>0.2105</v>
      </c>
      <c r="AA267" s="4" t="s">
        <v>207</v>
      </c>
      <c r="AB267" s="0" t="n">
        <f aca="false">FALSE()</f>
        <v>0</v>
      </c>
      <c r="AC267" s="4" t="s">
        <v>207</v>
      </c>
      <c r="AD267" s="4" t="s">
        <v>122</v>
      </c>
      <c r="AE267" s="4" t="s">
        <v>320</v>
      </c>
    </row>
    <row r="268" customFormat="false" ht="15" hidden="false" customHeight="false" outlineLevel="0" collapsed="false">
      <c r="A268" s="0" t="s">
        <v>31</v>
      </c>
      <c r="B268" s="0" t="n">
        <v>50000</v>
      </c>
      <c r="C268" s="0" t="n">
        <v>60000</v>
      </c>
      <c r="D268" s="0" t="s">
        <v>39</v>
      </c>
      <c r="E268" s="0" t="s">
        <v>59</v>
      </c>
      <c r="F268" s="0" t="n">
        <v>51.3</v>
      </c>
      <c r="G268" s="0" t="n">
        <v>0.247</v>
      </c>
      <c r="H268" s="0" t="n">
        <v>0.034</v>
      </c>
      <c r="I268" s="0" t="n">
        <v>0.861</v>
      </c>
      <c r="J268" s="0" t="n">
        <v>0.139590678528586</v>
      </c>
      <c r="K268" s="0" t="n">
        <v>2.61734426801605</v>
      </c>
      <c r="L268" s="0" t="n">
        <v>44.1826215022091</v>
      </c>
      <c r="M268" s="0" t="n">
        <v>495.867768595041</v>
      </c>
      <c r="N268" s="0" t="n">
        <v>164223</v>
      </c>
      <c r="O268" s="0" t="n">
        <v>22924</v>
      </c>
      <c r="P268" s="0" t="n">
        <v>1358</v>
      </c>
      <c r="Q268" s="0" t="n">
        <v>121</v>
      </c>
      <c r="R268" s="0" t="n">
        <v>0.681</v>
      </c>
      <c r="S268" s="0" t="n">
        <v>0.009</v>
      </c>
      <c r="T268" s="0" t="n">
        <v>0.0457</v>
      </c>
      <c r="U268" s="0" t="n">
        <v>0.2057</v>
      </c>
      <c r="AA268" s="0" t="s">
        <v>661</v>
      </c>
      <c r="AB268" s="0" t="n">
        <f aca="false">FALSE()</f>
        <v>0</v>
      </c>
      <c r="AC268" s="4" t="s">
        <v>662</v>
      </c>
      <c r="AD268" s="0" t="s">
        <v>70</v>
      </c>
      <c r="AE268" s="4" t="s">
        <v>663</v>
      </c>
    </row>
    <row r="269" customFormat="false" ht="15" hidden="false" customHeight="false" outlineLevel="0" collapsed="false">
      <c r="A269" s="0" t="s">
        <v>31</v>
      </c>
      <c r="B269" s="0" t="n">
        <v>50000</v>
      </c>
      <c r="C269" s="0" t="n">
        <v>43000</v>
      </c>
      <c r="D269" s="0" t="s">
        <v>32</v>
      </c>
      <c r="E269" s="0" t="s">
        <v>33</v>
      </c>
      <c r="F269" s="0" t="n">
        <v>38.7</v>
      </c>
      <c r="G269" s="0" t="n">
        <v>0.566</v>
      </c>
      <c r="H269" s="0" t="n">
        <v>0.019</v>
      </c>
      <c r="I269" s="0" t="n">
        <v>0.9857</v>
      </c>
      <c r="J269" s="0" t="n">
        <v>0.127216406750694</v>
      </c>
      <c r="K269" s="0" t="n">
        <v>2.57886529926832</v>
      </c>
      <c r="L269" s="0" t="n">
        <v>25.2941176470588</v>
      </c>
      <c r="M269" s="0" t="n">
        <v>220.512820512821</v>
      </c>
      <c r="N269" s="0" t="n">
        <v>131068</v>
      </c>
      <c r="O269" s="0" t="n">
        <v>16674</v>
      </c>
      <c r="P269" s="0" t="n">
        <v>1700</v>
      </c>
      <c r="Q269" s="0" t="n">
        <v>195</v>
      </c>
      <c r="R269" s="0" t="n">
        <v>0.173</v>
      </c>
      <c r="S269" s="0" t="n">
        <v>0.097</v>
      </c>
      <c r="T269" s="0" t="s">
        <v>34</v>
      </c>
      <c r="U269" s="0" t="s">
        <v>34</v>
      </c>
      <c r="AA269" s="4" t="s">
        <v>207</v>
      </c>
      <c r="AB269" s="0" t="n">
        <f aca="false">FALSE()</f>
        <v>0</v>
      </c>
      <c r="AC269" s="4" t="s">
        <v>207</v>
      </c>
      <c r="AD269" s="4" t="s">
        <v>122</v>
      </c>
      <c r="AE269" s="4" t="s">
        <v>320</v>
      </c>
    </row>
    <row r="270" customFormat="false" ht="15" hidden="false" customHeight="false" outlineLevel="0" collapsed="false">
      <c r="A270" s="0" t="s">
        <v>31</v>
      </c>
      <c r="B270" s="0" t="n">
        <v>7500</v>
      </c>
      <c r="C270" s="0" t="n">
        <v>3500</v>
      </c>
      <c r="D270" s="0" t="s">
        <v>32</v>
      </c>
      <c r="E270" s="0" t="s">
        <v>44</v>
      </c>
      <c r="F270" s="0" t="n">
        <v>3.1</v>
      </c>
      <c r="G270" s="0" t="n">
        <v>0.278</v>
      </c>
      <c r="H270" s="0" t="n">
        <v>0.064</v>
      </c>
      <c r="I270" s="0" t="n">
        <v>0.9088</v>
      </c>
      <c r="J270" s="0" t="n">
        <v>0.0570656131663268</v>
      </c>
      <c r="K270" s="0" t="n">
        <v>1.19636305630882</v>
      </c>
      <c r="L270" s="0" t="n">
        <v>18.3823529411765</v>
      </c>
      <c r="M270" s="0" t="n">
        <v>6.30252100840336</v>
      </c>
      <c r="N270" s="0" t="n">
        <v>109856</v>
      </c>
      <c r="O270" s="0" t="n">
        <v>6269</v>
      </c>
      <c r="P270" s="0" t="n">
        <v>408</v>
      </c>
      <c r="Q270" s="0" t="n">
        <v>1190</v>
      </c>
      <c r="R270" s="0" t="n">
        <v>0.855</v>
      </c>
      <c r="S270" s="0" t="n">
        <v>0.134</v>
      </c>
      <c r="T270" s="0" t="n">
        <v>0.4896</v>
      </c>
      <c r="U270" s="0" t="s">
        <v>34</v>
      </c>
      <c r="AA270" s="0" t="s">
        <v>664</v>
      </c>
      <c r="AB270" s="0" t="n">
        <f aca="false">FALSE()</f>
        <v>0</v>
      </c>
      <c r="AC270" s="4" t="s">
        <v>665</v>
      </c>
      <c r="AD270" s="4" t="s">
        <v>37</v>
      </c>
      <c r="AE270" s="4" t="s">
        <v>666</v>
      </c>
    </row>
    <row r="271" customFormat="false" ht="15" hidden="false" customHeight="false" outlineLevel="0" collapsed="false">
      <c r="A271" s="0" t="s">
        <v>31</v>
      </c>
      <c r="B271" s="0" t="n">
        <v>2800</v>
      </c>
      <c r="C271" s="0" t="n">
        <v>3800</v>
      </c>
      <c r="D271" s="0" t="s">
        <v>32</v>
      </c>
      <c r="E271" s="0" t="s">
        <v>44</v>
      </c>
      <c r="F271" s="0" t="n">
        <v>2.9</v>
      </c>
      <c r="G271" s="0" t="n">
        <v>0.265</v>
      </c>
      <c r="H271" s="0" t="n">
        <v>0.035</v>
      </c>
      <c r="I271" s="0" t="n">
        <v>0.865</v>
      </c>
      <c r="J271" s="0" t="n">
        <v>0.0647050446794119</v>
      </c>
      <c r="K271" s="0" t="n">
        <v>0.770288858321871</v>
      </c>
      <c r="L271" s="0" t="n">
        <v>9.62199312714777</v>
      </c>
      <c r="M271" s="0" t="n">
        <v>8.88888888888889</v>
      </c>
      <c r="N271" s="0" t="n">
        <v>56178</v>
      </c>
      <c r="O271" s="0" t="n">
        <v>3635</v>
      </c>
      <c r="P271" s="0" t="n">
        <v>291</v>
      </c>
      <c r="Q271" s="0" t="n">
        <v>315</v>
      </c>
      <c r="R271" s="0" t="n">
        <v>0.418</v>
      </c>
      <c r="S271" s="0" t="n">
        <v>0.542</v>
      </c>
      <c r="T271" s="0" t="n">
        <v>0.2694</v>
      </c>
      <c r="U271" s="0" t="s">
        <v>34</v>
      </c>
      <c r="AA271" s="0" t="s">
        <v>667</v>
      </c>
      <c r="AB271" s="0" t="n">
        <f aca="false">FALSE()</f>
        <v>0</v>
      </c>
      <c r="AC271" s="4" t="s">
        <v>668</v>
      </c>
      <c r="AD271" s="4" t="s">
        <v>62</v>
      </c>
      <c r="AE271" s="4" t="s">
        <v>669</v>
      </c>
    </row>
    <row r="272" customFormat="false" ht="15" hidden="false" customHeight="false" outlineLevel="0" collapsed="false">
      <c r="A272" s="0" t="s">
        <v>31</v>
      </c>
      <c r="B272" s="0" t="n">
        <v>2500</v>
      </c>
      <c r="C272" s="0" t="n">
        <v>2000</v>
      </c>
      <c r="D272" s="0" t="s">
        <v>32</v>
      </c>
      <c r="E272" s="0" t="s">
        <v>44</v>
      </c>
      <c r="F272" s="0" t="n">
        <v>2.8</v>
      </c>
      <c r="G272" s="0" t="n">
        <v>0.153</v>
      </c>
      <c r="H272" s="0" t="n">
        <v>0.057</v>
      </c>
      <c r="I272" s="0" t="n">
        <v>0.8367</v>
      </c>
      <c r="J272" s="0" t="n">
        <v>0.0826347543856156</v>
      </c>
      <c r="K272" s="0" t="n">
        <v>0.301204819277108</v>
      </c>
      <c r="L272" s="0" t="n">
        <v>4.60405156537753</v>
      </c>
      <c r="M272" s="0" t="n">
        <v>0.405646600681486</v>
      </c>
      <c r="N272" s="0" t="n">
        <v>100442</v>
      </c>
      <c r="O272" s="0" t="n">
        <v>8300</v>
      </c>
      <c r="P272" s="0" t="n">
        <v>543</v>
      </c>
      <c r="Q272" s="0" t="n">
        <v>6163</v>
      </c>
      <c r="R272" s="0" t="n">
        <v>0.581</v>
      </c>
      <c r="S272" s="0" t="n">
        <v>0.407</v>
      </c>
      <c r="T272" s="0" t="n">
        <v>0.3342</v>
      </c>
      <c r="U272" s="0" t="s">
        <v>34</v>
      </c>
      <c r="AA272" s="0" t="s">
        <v>670</v>
      </c>
      <c r="AB272" s="0" t="n">
        <f aca="false">FALSE()</f>
        <v>0</v>
      </c>
      <c r="AC272" s="4" t="s">
        <v>671</v>
      </c>
      <c r="AD272" s="4" t="s">
        <v>157</v>
      </c>
      <c r="AE272" s="4" t="s">
        <v>672</v>
      </c>
    </row>
    <row r="273" customFormat="false" ht="15" hidden="false" customHeight="false" outlineLevel="0" collapsed="false">
      <c r="A273" s="0" t="s">
        <v>31</v>
      </c>
      <c r="B273" s="0" t="n">
        <v>5000</v>
      </c>
      <c r="C273" s="0" t="n">
        <v>2500</v>
      </c>
      <c r="D273" s="0" t="s">
        <v>32</v>
      </c>
      <c r="E273" s="0" t="s">
        <v>44</v>
      </c>
      <c r="F273" s="0" t="n">
        <v>2.4</v>
      </c>
      <c r="G273" s="0" t="n">
        <v>0.464</v>
      </c>
      <c r="H273" s="0" t="n">
        <v>0.038</v>
      </c>
      <c r="I273" s="0" t="n">
        <v>0.9027</v>
      </c>
      <c r="J273" s="0" t="n">
        <v>0.0613446783212886</v>
      </c>
      <c r="K273" s="0" t="n">
        <v>1.51423379769836</v>
      </c>
      <c r="L273" s="0" t="n">
        <v>19.6078431372549</v>
      </c>
      <c r="M273" s="0" t="n">
        <v>10.5485232067511</v>
      </c>
      <c r="N273" s="0" t="n">
        <v>53827</v>
      </c>
      <c r="O273" s="0" t="n">
        <v>3302</v>
      </c>
      <c r="P273" s="0" t="n">
        <v>255</v>
      </c>
      <c r="Q273" s="0" t="n">
        <v>474</v>
      </c>
      <c r="R273" s="0" t="n">
        <v>0.667</v>
      </c>
      <c r="S273" s="0" t="n">
        <v>0.282</v>
      </c>
      <c r="T273" s="0" t="n">
        <v>0.205</v>
      </c>
      <c r="U273" s="0" t="s">
        <v>34</v>
      </c>
      <c r="AA273" s="4" t="s">
        <v>673</v>
      </c>
      <c r="AB273" s="0" t="n">
        <f aca="false">FALSE()</f>
        <v>0</v>
      </c>
      <c r="AC273" s="4" t="s">
        <v>207</v>
      </c>
      <c r="AD273" s="4" t="s">
        <v>122</v>
      </c>
      <c r="AE273" s="4" t="s">
        <v>320</v>
      </c>
    </row>
    <row r="274" customFormat="false" ht="15" hidden="false" customHeight="false" outlineLevel="0" collapsed="false">
      <c r="A274" s="0" t="s">
        <v>31</v>
      </c>
      <c r="B274" s="0" t="n">
        <v>3500</v>
      </c>
      <c r="C274" s="0" t="s">
        <v>43</v>
      </c>
      <c r="D274" s="0" t="s">
        <v>32</v>
      </c>
      <c r="E274" s="0" t="s">
        <v>44</v>
      </c>
      <c r="F274" s="0" t="n">
        <v>1.8</v>
      </c>
      <c r="G274" s="0" t="n">
        <v>0.243</v>
      </c>
      <c r="H274" s="0" t="n">
        <v>0.092</v>
      </c>
      <c r="I274" s="0" t="n">
        <v>0.799</v>
      </c>
      <c r="J274" s="0" t="n">
        <v>0.118974455947935</v>
      </c>
      <c r="K274" s="0" t="n">
        <v>0.463576158940397</v>
      </c>
      <c r="L274" s="0" t="n">
        <v>6.27240143369176</v>
      </c>
      <c r="M274" s="0" t="n">
        <v>4.50450450450451</v>
      </c>
      <c r="N274" s="0" t="n">
        <v>63459</v>
      </c>
      <c r="O274" s="0" t="n">
        <v>7550</v>
      </c>
      <c r="P274" s="0" t="n">
        <v>558</v>
      </c>
      <c r="Q274" s="0" t="n">
        <v>777</v>
      </c>
      <c r="R274" s="0" t="n">
        <v>0.653</v>
      </c>
      <c r="S274" s="0" t="n">
        <v>0.311</v>
      </c>
      <c r="T274" s="0" t="n">
        <v>0.3401</v>
      </c>
      <c r="U274" s="0" t="s">
        <v>34</v>
      </c>
      <c r="AA274" s="0" t="s">
        <v>674</v>
      </c>
      <c r="AB274" s="0" t="n">
        <f aca="false">FALSE()</f>
        <v>0</v>
      </c>
      <c r="AC274" s="4" t="s">
        <v>675</v>
      </c>
      <c r="AD274" s="4" t="s">
        <v>62</v>
      </c>
      <c r="AE274" s="4" t="s">
        <v>676</v>
      </c>
    </row>
    <row r="275" customFormat="false" ht="15" hidden="false" customHeight="false" outlineLevel="0" collapsed="false">
      <c r="A275" s="0" t="s">
        <v>31</v>
      </c>
      <c r="B275" s="0" t="n">
        <v>3800</v>
      </c>
      <c r="C275" s="0" t="n">
        <v>3800</v>
      </c>
      <c r="D275" s="0" t="s">
        <v>32</v>
      </c>
      <c r="E275" s="0" t="s">
        <v>44</v>
      </c>
      <c r="F275" s="0" t="n">
        <v>1.4</v>
      </c>
      <c r="G275" s="0" t="n">
        <v>0.18</v>
      </c>
      <c r="H275" s="0" t="n">
        <v>0.07</v>
      </c>
      <c r="I275" s="0" t="n">
        <v>0.9458</v>
      </c>
      <c r="J275" s="0" t="n">
        <v>0.0472963766996994</v>
      </c>
      <c r="K275" s="0" t="n">
        <v>0.729786825427309</v>
      </c>
      <c r="L275" s="0" t="n">
        <v>26.9503546099291</v>
      </c>
      <c r="M275" s="0" t="n">
        <v>18.8118811881188</v>
      </c>
      <c r="N275" s="0" t="n">
        <v>110093</v>
      </c>
      <c r="O275" s="0" t="n">
        <v>5207</v>
      </c>
      <c r="P275" s="0" t="n">
        <v>141</v>
      </c>
      <c r="Q275" s="0" t="n">
        <v>202</v>
      </c>
      <c r="R275" s="0" t="n">
        <v>0.745</v>
      </c>
      <c r="S275" s="0" t="n">
        <v>0.234</v>
      </c>
      <c r="T275" s="0" t="n">
        <v>0.2481</v>
      </c>
      <c r="U275" s="0" t="s">
        <v>34</v>
      </c>
      <c r="AA275" s="0" t="s">
        <v>677</v>
      </c>
      <c r="AB275" s="0" t="n">
        <f aca="false">FALSE()</f>
        <v>0</v>
      </c>
      <c r="AC275" s="4" t="s">
        <v>678</v>
      </c>
      <c r="AD275" s="4" t="s">
        <v>37</v>
      </c>
      <c r="AE275" s="4" t="s">
        <v>679</v>
      </c>
    </row>
    <row r="276" customFormat="false" ht="15" hidden="false" customHeight="false" outlineLevel="0" collapsed="false">
      <c r="A276" s="0" t="s">
        <v>31</v>
      </c>
      <c r="B276" s="0" t="n">
        <v>2800</v>
      </c>
      <c r="C276" s="0" t="n">
        <v>2000</v>
      </c>
      <c r="D276" s="0" t="s">
        <v>32</v>
      </c>
      <c r="E276" s="0" t="s">
        <v>44</v>
      </c>
      <c r="F276" s="0" t="n">
        <v>1.1</v>
      </c>
      <c r="G276" s="0" t="n">
        <v>0.143</v>
      </c>
      <c r="H276" s="0" t="n">
        <v>0.042</v>
      </c>
      <c r="I276" s="0" t="n">
        <v>0.7737</v>
      </c>
      <c r="J276" s="0" t="n">
        <v>0.152900763358779</v>
      </c>
      <c r="K276" s="0" t="n">
        <v>0.465967715094026</v>
      </c>
      <c r="L276" s="0" t="n">
        <v>13.2701421800948</v>
      </c>
      <c r="M276" s="0" t="n">
        <v>127.272727272727</v>
      </c>
      <c r="N276" s="0" t="n">
        <v>39300</v>
      </c>
      <c r="O276" s="0" t="n">
        <v>6009</v>
      </c>
      <c r="P276" s="0" t="n">
        <v>211</v>
      </c>
      <c r="Q276" s="0" t="n">
        <v>22</v>
      </c>
      <c r="R276" s="0" t="n">
        <v>0.697</v>
      </c>
      <c r="S276" s="0" t="n">
        <v>0.024</v>
      </c>
      <c r="T276" s="0" t="n">
        <v>0.5879</v>
      </c>
      <c r="U276" s="0" t="s">
        <v>34</v>
      </c>
      <c r="AA276" s="0" t="s">
        <v>680</v>
      </c>
      <c r="AB276" s="0" t="n">
        <f aca="false">FALSE()</f>
        <v>0</v>
      </c>
      <c r="AC276" s="4" t="s">
        <v>681</v>
      </c>
      <c r="AD276" s="4" t="s">
        <v>157</v>
      </c>
      <c r="AE276" s="4" t="s">
        <v>682</v>
      </c>
    </row>
    <row r="277" customFormat="false" ht="15" hidden="false" customHeight="false" outlineLevel="0" collapsed="false">
      <c r="A277" s="0" t="s">
        <v>31</v>
      </c>
      <c r="B277" s="0" t="n">
        <v>6500</v>
      </c>
      <c r="C277" s="0" t="n">
        <v>7000</v>
      </c>
      <c r="D277" s="0" t="s">
        <v>32</v>
      </c>
      <c r="E277" s="0" t="s">
        <v>44</v>
      </c>
      <c r="F277" s="0" t="n">
        <v>4.8</v>
      </c>
      <c r="G277" s="0" t="n">
        <v>0.37</v>
      </c>
      <c r="H277" s="0" t="n">
        <v>0.039</v>
      </c>
      <c r="I277" s="0" t="n">
        <v>0.8927</v>
      </c>
      <c r="J277" s="0" t="n">
        <v>0.405431708281378</v>
      </c>
      <c r="K277" s="0" t="n">
        <v>0.487585327432301</v>
      </c>
      <c r="L277" s="0" t="n">
        <v>5.67190226876091</v>
      </c>
      <c r="M277" s="0" t="n">
        <v>722.222222222222</v>
      </c>
      <c r="N277" s="0" t="n">
        <v>32881</v>
      </c>
      <c r="O277" s="0" t="n">
        <v>13331</v>
      </c>
      <c r="P277" s="0" t="n">
        <v>1146</v>
      </c>
      <c r="Q277" s="0" t="n">
        <v>9</v>
      </c>
      <c r="R277" s="0" t="n">
        <v>0.912</v>
      </c>
      <c r="S277" s="0" t="n">
        <v>0.003</v>
      </c>
      <c r="T277" s="0" t="n">
        <v>0.5783</v>
      </c>
      <c r="U277" s="0" t="s">
        <v>34</v>
      </c>
      <c r="AA277" s="0" t="s">
        <v>683</v>
      </c>
      <c r="AB277" s="0" t="n">
        <f aca="false">FALSE()</f>
        <v>0</v>
      </c>
      <c r="AC277" s="4" t="s">
        <v>684</v>
      </c>
      <c r="AD277" s="4" t="s">
        <v>189</v>
      </c>
      <c r="AE277" s="4" t="s">
        <v>685</v>
      </c>
    </row>
    <row r="278" customFormat="false" ht="15" hidden="false" customHeight="false" outlineLevel="0" collapsed="false">
      <c r="A278" s="0" t="s">
        <v>31</v>
      </c>
      <c r="B278" s="0" t="n">
        <v>6500</v>
      </c>
      <c r="C278" s="0" t="s">
        <v>43</v>
      </c>
      <c r="D278" s="0" t="s">
        <v>32</v>
      </c>
      <c r="E278" s="0" t="s">
        <v>33</v>
      </c>
      <c r="F278" s="0" t="n">
        <v>13.5</v>
      </c>
      <c r="G278" s="0" t="n">
        <v>0.139</v>
      </c>
      <c r="H278" s="0" t="n">
        <v>0.037</v>
      </c>
      <c r="I278" s="0" t="n">
        <v>0.9822</v>
      </c>
      <c r="J278" s="0" t="n">
        <v>0.120181438757173</v>
      </c>
      <c r="K278" s="0" t="n">
        <v>0.391896780417219</v>
      </c>
      <c r="L278" s="0" t="n">
        <v>3.37311883757135</v>
      </c>
      <c r="N278" s="0" t="n">
        <v>138008</v>
      </c>
      <c r="O278" s="0" t="n">
        <v>16586</v>
      </c>
      <c r="P278" s="0" t="n">
        <v>1927</v>
      </c>
      <c r="Q278" s="0" t="s">
        <v>34</v>
      </c>
      <c r="R278" s="0" t="n">
        <v>0.548</v>
      </c>
      <c r="S278" s="0" t="n">
        <v>0.064</v>
      </c>
      <c r="T278" s="0" t="n">
        <v>0.3152</v>
      </c>
      <c r="U278" s="0" t="s">
        <v>34</v>
      </c>
      <c r="AA278" s="0" t="s">
        <v>686</v>
      </c>
      <c r="AB278" s="0" t="n">
        <f aca="false">FALSE()</f>
        <v>0</v>
      </c>
      <c r="AC278" s="4" t="s">
        <v>687</v>
      </c>
      <c r="AD278" s="4" t="s">
        <v>37</v>
      </c>
      <c r="AE278" s="4" t="s">
        <v>688</v>
      </c>
    </row>
    <row r="279" customFormat="false" ht="15" hidden="false" customHeight="false" outlineLevel="0" collapsed="false">
      <c r="AD279" s="4" t="s">
        <v>122</v>
      </c>
      <c r="AE279" s="4" t="s">
        <v>689</v>
      </c>
    </row>
    <row r="280" customFormat="false" ht="15" hidden="false" customHeight="false" outlineLevel="0" collapsed="false">
      <c r="A280" s="0" t="s">
        <v>31</v>
      </c>
      <c r="B280" s="0" t="n">
        <v>2500</v>
      </c>
      <c r="C280" s="0" t="n">
        <v>3000</v>
      </c>
      <c r="D280" s="0" t="s">
        <v>32</v>
      </c>
      <c r="E280" s="0" t="s">
        <v>44</v>
      </c>
      <c r="F280" s="0" t="n">
        <v>3.9</v>
      </c>
      <c r="G280" s="0" t="n">
        <v>0.189</v>
      </c>
      <c r="H280" s="0" t="n">
        <v>0.032</v>
      </c>
      <c r="I280" s="0" t="n">
        <v>0.8216</v>
      </c>
      <c r="J280" s="0" t="n">
        <v>0.147439504783343</v>
      </c>
      <c r="K280" s="0" t="n">
        <v>0.454380225372592</v>
      </c>
      <c r="L280" s="0" t="n">
        <v>9.84251968503937</v>
      </c>
      <c r="M280" s="0" t="n">
        <v>6.23441396508728</v>
      </c>
      <c r="N280" s="0" t="n">
        <v>37317</v>
      </c>
      <c r="O280" s="0" t="n">
        <v>5502</v>
      </c>
      <c r="P280" s="0" t="n">
        <v>254</v>
      </c>
      <c r="Q280" s="0" t="n">
        <v>401</v>
      </c>
      <c r="R280" s="0" t="n">
        <v>0.944</v>
      </c>
      <c r="S280" s="0" t="n">
        <v>0.007</v>
      </c>
      <c r="T280" s="0" t="n">
        <v>0.4908</v>
      </c>
      <c r="U280" s="0" t="s">
        <v>34</v>
      </c>
      <c r="AA280" s="0" t="s">
        <v>690</v>
      </c>
      <c r="AB280" s="0" t="n">
        <f aca="false">FALSE()</f>
        <v>0</v>
      </c>
      <c r="AC280" s="4" t="s">
        <v>230</v>
      </c>
      <c r="AD280" s="4" t="s">
        <v>37</v>
      </c>
      <c r="AE280" s="4" t="s">
        <v>691</v>
      </c>
    </row>
    <row r="281" customFormat="false" ht="15" hidden="false" customHeight="false" outlineLevel="0" collapsed="false">
      <c r="A281" s="0" t="s">
        <v>31</v>
      </c>
      <c r="B281" s="0" t="n">
        <v>25000</v>
      </c>
      <c r="C281" s="0" t="n">
        <v>37500</v>
      </c>
      <c r="D281" s="0" t="s">
        <v>32</v>
      </c>
      <c r="E281" s="0" t="s">
        <v>33</v>
      </c>
      <c r="F281" s="0" t="n">
        <v>42.9</v>
      </c>
      <c r="G281" s="0" t="n">
        <v>0.272</v>
      </c>
      <c r="H281" s="0" t="n">
        <v>0.031</v>
      </c>
      <c r="I281" s="0" t="n">
        <v>0.9691</v>
      </c>
      <c r="J281" s="0" t="n">
        <v>0.0791948280928592</v>
      </c>
      <c r="K281" s="0" t="n">
        <v>7.73036487322202</v>
      </c>
      <c r="L281" s="0" t="n">
        <v>33.4224598930481</v>
      </c>
      <c r="M281" s="0" t="n">
        <v>344.036697247706</v>
      </c>
      <c r="N281" s="0" t="n">
        <v>61254</v>
      </c>
      <c r="O281" s="0" t="n">
        <v>4851</v>
      </c>
      <c r="P281" s="0" t="n">
        <v>1122</v>
      </c>
      <c r="Q281" s="0" t="n">
        <v>109</v>
      </c>
      <c r="R281" s="0" t="n">
        <v>0.558</v>
      </c>
      <c r="S281" s="0" t="n">
        <v>0.022</v>
      </c>
      <c r="T281" s="0" t="s">
        <v>34</v>
      </c>
      <c r="U281" s="0" t="n">
        <v>0.6077</v>
      </c>
      <c r="AA281" s="0" t="s">
        <v>692</v>
      </c>
      <c r="AB281" s="0" t="n">
        <f aca="false">FALSE()</f>
        <v>0</v>
      </c>
      <c r="AC281" s="4" t="s">
        <v>535</v>
      </c>
      <c r="AD281" s="4" t="s">
        <v>87</v>
      </c>
      <c r="AE281" s="4" t="s">
        <v>693</v>
      </c>
    </row>
    <row r="282" customFormat="false" ht="15" hidden="false" customHeight="false" outlineLevel="0" collapsed="false">
      <c r="A282" s="0" t="s">
        <v>31</v>
      </c>
      <c r="B282" s="0" t="n">
        <v>50000</v>
      </c>
      <c r="C282" s="0" t="n">
        <v>60000</v>
      </c>
      <c r="D282" s="0" t="s">
        <v>32</v>
      </c>
      <c r="E282" s="0" t="s">
        <v>59</v>
      </c>
      <c r="F282" s="0" t="n">
        <v>54.7</v>
      </c>
      <c r="G282" s="0" t="n">
        <v>0.266</v>
      </c>
      <c r="H282" s="0" t="n">
        <v>0.047</v>
      </c>
      <c r="I282" s="0" t="n">
        <v>0.9639</v>
      </c>
      <c r="J282" s="0" t="n">
        <v>0.181716750966974</v>
      </c>
      <c r="K282" s="0" t="n">
        <v>12.2799836266885</v>
      </c>
      <c r="L282" s="0" t="n">
        <v>52.5854513584575</v>
      </c>
      <c r="M282" s="0" t="n">
        <v>4615.38461538462</v>
      </c>
      <c r="N282" s="0" t="n">
        <v>26888</v>
      </c>
      <c r="O282" s="0" t="n">
        <v>4886</v>
      </c>
      <c r="P282" s="0" t="n">
        <v>1141</v>
      </c>
      <c r="Q282" s="0" t="n">
        <v>13</v>
      </c>
      <c r="R282" s="0" t="n">
        <v>0.101</v>
      </c>
      <c r="S282" s="0" t="n">
        <v>0.021</v>
      </c>
      <c r="T282" s="0" t="s">
        <v>34</v>
      </c>
      <c r="U282" s="0" t="n">
        <v>0.1117</v>
      </c>
      <c r="AA282" s="0" t="s">
        <v>692</v>
      </c>
      <c r="AB282" s="0" t="n">
        <f aca="false">FALSE()</f>
        <v>0</v>
      </c>
      <c r="AC282" s="4" t="s">
        <v>535</v>
      </c>
      <c r="AD282" s="4" t="s">
        <v>87</v>
      </c>
      <c r="AE282" s="4" t="s">
        <v>694</v>
      </c>
    </row>
    <row r="283" customFormat="false" ht="15" hidden="false" customHeight="false" outlineLevel="0" collapsed="false">
      <c r="A283" s="0" t="s">
        <v>31</v>
      </c>
      <c r="B283" s="0" t="n">
        <v>25000</v>
      </c>
      <c r="C283" s="0" t="n">
        <v>25000</v>
      </c>
      <c r="D283" s="0" t="s">
        <v>39</v>
      </c>
      <c r="E283" s="0" t="s">
        <v>33</v>
      </c>
      <c r="F283" s="0" t="n">
        <v>44.6</v>
      </c>
      <c r="G283" s="0" t="n">
        <v>0.25</v>
      </c>
      <c r="H283" s="0" t="n">
        <v>0.064</v>
      </c>
      <c r="I283" s="0" t="n">
        <v>0.9091</v>
      </c>
      <c r="J283" s="0" t="n">
        <v>0.369939046798373</v>
      </c>
      <c r="K283" s="0" t="n">
        <v>0.214092419415613</v>
      </c>
      <c r="L283" s="0" t="n">
        <v>5.14721021206506</v>
      </c>
      <c r="N283" s="0" t="n">
        <v>315652</v>
      </c>
      <c r="O283" s="0" t="n">
        <v>116772</v>
      </c>
      <c r="P283" s="0" t="n">
        <v>4857</v>
      </c>
      <c r="Q283" s="0" t="s">
        <v>34</v>
      </c>
      <c r="R283" s="0" t="n">
        <v>0.094</v>
      </c>
      <c r="S283" s="0" t="n">
        <v>0.024</v>
      </c>
      <c r="T283" s="0" t="s">
        <v>34</v>
      </c>
      <c r="U283" s="0" t="s">
        <v>34</v>
      </c>
      <c r="V283" s="0" t="s">
        <v>313</v>
      </c>
      <c r="W283" s="4" t="s">
        <v>113</v>
      </c>
      <c r="X283" s="4" t="s">
        <v>267</v>
      </c>
      <c r="Y283" s="4" t="s">
        <v>395</v>
      </c>
      <c r="AA283" s="0" t="s">
        <v>695</v>
      </c>
      <c r="AB283" s="0" t="n">
        <f aca="false">TRUE()</f>
        <v>1</v>
      </c>
      <c r="AC283" s="4" t="s">
        <v>696</v>
      </c>
      <c r="AD283" s="4" t="s">
        <v>292</v>
      </c>
      <c r="AE283" s="4" t="s">
        <v>697</v>
      </c>
    </row>
    <row r="284" customFormat="false" ht="15" hidden="false" customHeight="false" outlineLevel="0" collapsed="false">
      <c r="A284" s="0" t="s">
        <v>31</v>
      </c>
      <c r="B284" s="0" t="n">
        <v>6000</v>
      </c>
      <c r="C284" s="0" t="n">
        <v>9500</v>
      </c>
      <c r="D284" s="0" t="s">
        <v>32</v>
      </c>
      <c r="E284" s="0" t="s">
        <v>33</v>
      </c>
      <c r="F284" s="0" t="n">
        <v>22.5</v>
      </c>
      <c r="G284" s="0" t="n">
        <v>0.129</v>
      </c>
      <c r="H284" s="0" t="n">
        <v>0.11</v>
      </c>
      <c r="I284" s="0" t="n">
        <v>0.879</v>
      </c>
      <c r="J284" s="0" t="n">
        <v>0.359786700125471</v>
      </c>
      <c r="K284" s="0" t="n">
        <v>2.7608253414705</v>
      </c>
      <c r="L284" s="0" t="n">
        <v>11.2160566706021</v>
      </c>
      <c r="N284" s="0" t="n">
        <v>9564</v>
      </c>
      <c r="O284" s="0" t="n">
        <v>3441</v>
      </c>
      <c r="P284" s="0" t="n">
        <v>847</v>
      </c>
      <c r="Q284" s="0" t="s">
        <v>34</v>
      </c>
      <c r="R284" s="0" t="n">
        <v>0.613</v>
      </c>
      <c r="S284" s="0" t="n">
        <v>0.009</v>
      </c>
      <c r="T284" s="0" t="s">
        <v>34</v>
      </c>
      <c r="U284" s="0" t="n">
        <v>0.0192</v>
      </c>
      <c r="AA284" s="0" t="s">
        <v>561</v>
      </c>
      <c r="AB284" s="0" t="n">
        <f aca="false">FALSE()</f>
        <v>0</v>
      </c>
      <c r="AC284" s="4" t="s">
        <v>61</v>
      </c>
      <c r="AD284" s="4" t="s">
        <v>62</v>
      </c>
      <c r="AE284" s="4" t="s">
        <v>562</v>
      </c>
    </row>
    <row r="285" customFormat="false" ht="15" hidden="false" customHeight="false" outlineLevel="0" collapsed="false">
      <c r="A285" s="0" t="s">
        <v>31</v>
      </c>
      <c r="B285" s="0" t="n">
        <v>29000</v>
      </c>
      <c r="C285" s="0" t="n">
        <v>42000</v>
      </c>
      <c r="D285" s="0" t="s">
        <v>32</v>
      </c>
      <c r="E285" s="0" t="s">
        <v>33</v>
      </c>
      <c r="F285" s="0" t="n">
        <v>29.2</v>
      </c>
      <c r="G285" s="0" t="n">
        <v>0.181</v>
      </c>
      <c r="H285" s="0" t="n">
        <v>0.111</v>
      </c>
      <c r="I285" s="0" t="n">
        <v>0.9315</v>
      </c>
      <c r="J285" s="0" t="n">
        <v>0.248305428422455</v>
      </c>
      <c r="K285" s="0" t="n">
        <v>2.25540519520921</v>
      </c>
      <c r="L285" s="0" t="n">
        <v>22.7450980392157</v>
      </c>
      <c r="M285" s="0" t="n">
        <v>62.7705627705628</v>
      </c>
      <c r="N285" s="0" t="n">
        <v>51783</v>
      </c>
      <c r="O285" s="0" t="n">
        <v>12858</v>
      </c>
      <c r="P285" s="0" t="n">
        <v>1275</v>
      </c>
      <c r="Q285" s="0" t="n">
        <v>462</v>
      </c>
      <c r="R285" s="0" t="n">
        <v>0.823</v>
      </c>
      <c r="S285" s="0" t="n">
        <v>0.127</v>
      </c>
      <c r="T285" s="0" t="s">
        <v>34</v>
      </c>
      <c r="U285" s="0" t="n">
        <v>0.2352</v>
      </c>
      <c r="AA285" s="0" t="s">
        <v>698</v>
      </c>
      <c r="AB285" s="0" t="n">
        <f aca="false">FALSE()</f>
        <v>0</v>
      </c>
      <c r="AC285" s="4" t="s">
        <v>699</v>
      </c>
      <c r="AD285" s="4" t="s">
        <v>54</v>
      </c>
      <c r="AE285" s="4" t="s">
        <v>700</v>
      </c>
    </row>
    <row r="286" customFormat="false" ht="15" hidden="false" customHeight="false" outlineLevel="0" collapsed="false">
      <c r="A286" s="0" t="s">
        <v>31</v>
      </c>
      <c r="B286" s="0" t="n">
        <v>5000</v>
      </c>
      <c r="C286" s="0" t="n">
        <v>5000</v>
      </c>
      <c r="D286" s="0" t="s">
        <v>32</v>
      </c>
      <c r="E286" s="0" t="s">
        <v>33</v>
      </c>
      <c r="F286" s="0" t="n">
        <v>33.2</v>
      </c>
      <c r="G286" s="0" t="n">
        <v>0.332</v>
      </c>
      <c r="H286" s="0" t="n">
        <v>0.066</v>
      </c>
      <c r="I286" s="0" t="n">
        <v>0.9092</v>
      </c>
      <c r="J286" s="0" t="n">
        <v>0.389884423709045</v>
      </c>
      <c r="K286" s="0" t="n">
        <v>1.3598041881969</v>
      </c>
      <c r="L286" s="0" t="n">
        <v>14.2450142450142</v>
      </c>
      <c r="M286" s="0" t="n">
        <v>156.25</v>
      </c>
      <c r="N286" s="0" t="n">
        <v>9431</v>
      </c>
      <c r="O286" s="0" t="n">
        <v>3677</v>
      </c>
      <c r="P286" s="0" t="n">
        <v>351</v>
      </c>
      <c r="Q286" s="0" t="n">
        <v>32</v>
      </c>
      <c r="R286" s="0" t="n">
        <v>0.973</v>
      </c>
      <c r="S286" s="0" t="n">
        <v>0.001</v>
      </c>
      <c r="T286" s="0" t="n">
        <v>0.1801</v>
      </c>
      <c r="U286" s="0" t="s">
        <v>34</v>
      </c>
      <c r="AA286" s="0" t="s">
        <v>701</v>
      </c>
      <c r="AB286" s="0" t="n">
        <f aca="false">FALSE()</f>
        <v>0</v>
      </c>
      <c r="AC286" s="4" t="s">
        <v>702</v>
      </c>
      <c r="AD286" s="4" t="s">
        <v>87</v>
      </c>
      <c r="AE286" s="4" t="s">
        <v>703</v>
      </c>
    </row>
    <row r="287" customFormat="false" ht="15" hidden="false" customHeight="false" outlineLevel="0" collapsed="false">
      <c r="A287" s="0" t="s">
        <v>31</v>
      </c>
      <c r="B287" s="0" t="n">
        <v>3500</v>
      </c>
      <c r="C287" s="0" t="n">
        <v>4000</v>
      </c>
      <c r="D287" s="0" t="s">
        <v>32</v>
      </c>
      <c r="E287" s="0" t="s">
        <v>44</v>
      </c>
      <c r="F287" s="0" t="n">
        <v>3.4</v>
      </c>
      <c r="G287" s="0" t="n">
        <v>0.357</v>
      </c>
      <c r="H287" s="0" t="n">
        <v>0.036</v>
      </c>
      <c r="I287" s="0" t="n">
        <v>0.7181</v>
      </c>
      <c r="J287" s="0" t="n">
        <v>0.159772450223486</v>
      </c>
      <c r="K287" s="0" t="n">
        <v>1.78026449643947</v>
      </c>
      <c r="L287" s="0" t="n">
        <v>8.19672131147541</v>
      </c>
      <c r="M287" s="0" t="n">
        <v>583.333333333333</v>
      </c>
      <c r="N287" s="0" t="n">
        <v>12305</v>
      </c>
      <c r="O287" s="0" t="n">
        <v>1966</v>
      </c>
      <c r="P287" s="0" t="n">
        <v>427</v>
      </c>
      <c r="Q287" s="0" t="n">
        <v>6</v>
      </c>
      <c r="R287" s="0" t="n">
        <v>0.726</v>
      </c>
      <c r="S287" s="0" t="n">
        <v>0.086</v>
      </c>
      <c r="T287" s="0" t="n">
        <v>0.3875</v>
      </c>
      <c r="U287" s="0" t="s">
        <v>34</v>
      </c>
      <c r="AA287" s="0" t="s">
        <v>704</v>
      </c>
      <c r="AB287" s="0" t="n">
        <f aca="false">FALSE()</f>
        <v>0</v>
      </c>
      <c r="AC287" s="4" t="s">
        <v>705</v>
      </c>
      <c r="AD287" s="4" t="s">
        <v>37</v>
      </c>
      <c r="AE287" s="4" t="s">
        <v>706</v>
      </c>
    </row>
    <row r="288" customFormat="false" ht="15" hidden="false" customHeight="false" outlineLevel="0" collapsed="false">
      <c r="A288" s="0" t="s">
        <v>31</v>
      </c>
      <c r="B288" s="0" t="n">
        <v>28000</v>
      </c>
      <c r="C288" s="0" t="n">
        <v>38000</v>
      </c>
      <c r="D288" s="0" t="s">
        <v>32</v>
      </c>
      <c r="E288" s="0" t="s">
        <v>33</v>
      </c>
      <c r="F288" s="0" t="n">
        <v>39.4</v>
      </c>
      <c r="G288" s="0" t="n">
        <v>0.265</v>
      </c>
      <c r="H288" s="0" t="n">
        <v>0.026</v>
      </c>
      <c r="I288" s="0" t="n">
        <v>0.9748</v>
      </c>
      <c r="J288" s="0" t="n">
        <v>0.162292567284898</v>
      </c>
      <c r="K288" s="0" t="n">
        <v>3.2651658360543</v>
      </c>
      <c r="L288" s="0" t="n">
        <v>64.406779661017</v>
      </c>
      <c r="M288" s="0" t="n">
        <v>690.909090909091</v>
      </c>
      <c r="N288" s="0" t="n">
        <v>71710</v>
      </c>
      <c r="O288" s="0" t="n">
        <v>11638</v>
      </c>
      <c r="P288" s="0" t="n">
        <v>590</v>
      </c>
      <c r="Q288" s="0" t="n">
        <v>55</v>
      </c>
      <c r="R288" s="0" t="n">
        <v>0.767</v>
      </c>
      <c r="S288" s="0" t="n">
        <v>0.002</v>
      </c>
      <c r="T288" s="0" t="s">
        <v>34</v>
      </c>
      <c r="U288" s="0" t="n">
        <v>0.1538</v>
      </c>
      <c r="AA288" s="4" t="s">
        <v>218</v>
      </c>
      <c r="AB288" s="0" t="n">
        <f aca="false">FALSE()</f>
        <v>0</v>
      </c>
      <c r="AC288" s="4" t="s">
        <v>218</v>
      </c>
      <c r="AD288" s="4" t="s">
        <v>122</v>
      </c>
      <c r="AE288" s="4" t="s">
        <v>707</v>
      </c>
    </row>
    <row r="289" customFormat="false" ht="15" hidden="false" customHeight="false" outlineLevel="0" collapsed="false">
      <c r="AD289" s="4" t="s">
        <v>122</v>
      </c>
      <c r="AE289" s="4" t="s">
        <v>265</v>
      </c>
    </row>
    <row r="290" customFormat="false" ht="15" hidden="false" customHeight="false" outlineLevel="0" collapsed="false">
      <c r="A290" s="0" t="s">
        <v>31</v>
      </c>
      <c r="B290" s="0" t="n">
        <v>80000</v>
      </c>
      <c r="C290" s="0" t="n">
        <v>130000</v>
      </c>
      <c r="D290" s="0" t="s">
        <v>39</v>
      </c>
      <c r="E290" s="0" t="s">
        <v>99</v>
      </c>
      <c r="F290" s="0" t="n">
        <v>178.8</v>
      </c>
      <c r="G290" s="0" t="n">
        <v>0.318</v>
      </c>
      <c r="H290" s="0" t="n">
        <v>0.07</v>
      </c>
      <c r="I290" s="0" t="n">
        <v>0.9234</v>
      </c>
      <c r="J290" s="0" t="n">
        <v>0.279012120598829</v>
      </c>
      <c r="K290" s="0" t="n">
        <v>0.389660216291394</v>
      </c>
      <c r="L290" s="0" t="n">
        <v>3.01904319554111</v>
      </c>
      <c r="M290" s="0" t="n">
        <v>2.56562068284981</v>
      </c>
      <c r="N290" s="0" t="n">
        <v>1195733</v>
      </c>
      <c r="O290" s="0" t="n">
        <v>333624</v>
      </c>
      <c r="P290" s="0" t="n">
        <v>43060</v>
      </c>
      <c r="Q290" s="0" t="n">
        <v>50670</v>
      </c>
      <c r="R290" s="0" t="n">
        <v>0.65</v>
      </c>
      <c r="S290" s="0" t="n">
        <v>0.004</v>
      </c>
      <c r="T290" s="0" t="s">
        <v>34</v>
      </c>
      <c r="U290" s="0" t="n">
        <v>0.4706</v>
      </c>
      <c r="AA290" s="4" t="s">
        <v>207</v>
      </c>
      <c r="AB290" s="0" t="n">
        <f aca="false">FALSE()</f>
        <v>0</v>
      </c>
      <c r="AC290" s="4" t="s">
        <v>207</v>
      </c>
      <c r="AD290" s="4" t="s">
        <v>122</v>
      </c>
      <c r="AE290" s="4" t="s">
        <v>708</v>
      </c>
    </row>
    <row r="291" customFormat="false" ht="15" hidden="false" customHeight="false" outlineLevel="0" collapsed="false">
      <c r="A291" s="0" t="s">
        <v>31</v>
      </c>
      <c r="B291" s="0" t="n">
        <v>60000</v>
      </c>
      <c r="C291" s="0" t="n">
        <v>70000</v>
      </c>
      <c r="D291" s="0" t="s">
        <v>32</v>
      </c>
      <c r="E291" s="0" t="s">
        <v>99</v>
      </c>
      <c r="F291" s="0" t="n">
        <v>133.1</v>
      </c>
      <c r="G291" s="0" t="n">
        <v>0.3</v>
      </c>
      <c r="H291" s="0" t="n">
        <v>0.023</v>
      </c>
      <c r="I291" s="0" t="n">
        <v>0.921</v>
      </c>
      <c r="J291" s="0" t="n">
        <v>0.134076900943468</v>
      </c>
      <c r="K291" s="0" t="n">
        <v>3.9532388321003</v>
      </c>
      <c r="L291" s="0" t="n">
        <v>45.5432661027977</v>
      </c>
      <c r="M291" s="0" t="n">
        <v>83.3333333333333</v>
      </c>
      <c r="N291" s="0" t="n">
        <v>132066</v>
      </c>
      <c r="O291" s="0" t="n">
        <v>17707</v>
      </c>
      <c r="P291" s="0" t="n">
        <v>1537</v>
      </c>
      <c r="Q291" s="0" t="n">
        <v>840</v>
      </c>
      <c r="R291" s="0" t="n">
        <v>0.388</v>
      </c>
      <c r="S291" s="0" t="n">
        <v>0.002</v>
      </c>
      <c r="T291" s="0" t="s">
        <v>34</v>
      </c>
      <c r="U291" s="0" t="n">
        <v>0.5714</v>
      </c>
      <c r="AA291" s="0" t="s">
        <v>709</v>
      </c>
      <c r="AB291" s="0" t="n">
        <f aca="false">FALSE()</f>
        <v>0</v>
      </c>
      <c r="AC291" s="4" t="s">
        <v>710</v>
      </c>
      <c r="AD291" s="4" t="s">
        <v>37</v>
      </c>
      <c r="AE291" s="4" t="s">
        <v>711</v>
      </c>
    </row>
    <row r="292" customFormat="false" ht="15" hidden="false" customHeight="false" outlineLevel="0" collapsed="false">
      <c r="A292" s="0" t="s">
        <v>31</v>
      </c>
      <c r="B292" s="0" t="n">
        <v>80000</v>
      </c>
      <c r="C292" s="0" t="n">
        <v>120000</v>
      </c>
      <c r="D292" s="0" t="s">
        <v>39</v>
      </c>
      <c r="E292" s="0" t="s">
        <v>99</v>
      </c>
      <c r="F292" s="0" t="n">
        <v>285.5</v>
      </c>
      <c r="G292" s="0" t="n">
        <v>0.32</v>
      </c>
      <c r="H292" s="0" t="n">
        <v>0.057</v>
      </c>
      <c r="I292" s="0" t="n">
        <v>0.9356</v>
      </c>
      <c r="J292" s="0" t="n">
        <v>0.0995951165463752</v>
      </c>
      <c r="K292" s="0" t="n">
        <v>4.15886878768975</v>
      </c>
      <c r="L292" s="0" t="n">
        <v>15.222630978054</v>
      </c>
      <c r="N292" s="0" t="n">
        <v>289713</v>
      </c>
      <c r="O292" s="0" t="n">
        <v>28854</v>
      </c>
      <c r="P292" s="0" t="n">
        <v>7883</v>
      </c>
      <c r="Q292" s="0" t="s">
        <v>34</v>
      </c>
      <c r="R292" s="0" t="n">
        <v>0.264</v>
      </c>
      <c r="S292" s="0" t="n">
        <v>0.003</v>
      </c>
      <c r="T292" s="0" t="s">
        <v>34</v>
      </c>
      <c r="U292" s="0" t="s">
        <v>34</v>
      </c>
      <c r="AA292" s="0" t="s">
        <v>712</v>
      </c>
      <c r="AB292" s="0" t="n">
        <f aca="false">FALSE()</f>
        <v>0</v>
      </c>
      <c r="AC292" s="4" t="s">
        <v>713</v>
      </c>
      <c r="AD292" s="4" t="s">
        <v>126</v>
      </c>
      <c r="AE292" s="4" t="s">
        <v>714</v>
      </c>
    </row>
    <row r="293" customFormat="false" ht="15" hidden="false" customHeight="false" outlineLevel="0" collapsed="false">
      <c r="A293" s="0" t="s">
        <v>31</v>
      </c>
      <c r="B293" s="0" t="s">
        <v>43</v>
      </c>
      <c r="C293" s="0" t="n">
        <v>60000</v>
      </c>
      <c r="D293" s="0" t="s">
        <v>39</v>
      </c>
      <c r="E293" s="0" t="s">
        <v>99</v>
      </c>
      <c r="F293" s="0" t="n">
        <v>120.7</v>
      </c>
      <c r="G293" s="0" t="n">
        <v>0.381</v>
      </c>
      <c r="H293" s="0" t="n">
        <v>0.061</v>
      </c>
      <c r="I293" s="0" t="n">
        <v>0.8321</v>
      </c>
      <c r="J293" s="0" t="n">
        <v>0.179504161423494</v>
      </c>
      <c r="K293" s="0" t="n">
        <v>7.37916615422457</v>
      </c>
      <c r="L293" s="0" t="n">
        <v>147.058823529412</v>
      </c>
      <c r="M293" s="0" t="n">
        <v>1818.18181818182</v>
      </c>
      <c r="N293" s="0" t="n">
        <v>45297</v>
      </c>
      <c r="O293" s="0" t="n">
        <v>8131</v>
      </c>
      <c r="P293" s="0" t="n">
        <v>408</v>
      </c>
      <c r="Q293" s="0" t="n">
        <v>33</v>
      </c>
      <c r="R293" s="0" t="n">
        <v>0.539</v>
      </c>
      <c r="S293" s="0" t="n">
        <v>0.002</v>
      </c>
      <c r="T293" s="0" t="s">
        <v>34</v>
      </c>
      <c r="U293" s="0" t="n">
        <v>0.1667</v>
      </c>
      <c r="AA293" s="0" t="s">
        <v>715</v>
      </c>
      <c r="AB293" s="0" t="n">
        <f aca="false">FALSE()</f>
        <v>0</v>
      </c>
      <c r="AC293" s="4" t="s">
        <v>716</v>
      </c>
      <c r="AD293" s="4" t="s">
        <v>157</v>
      </c>
      <c r="AE293" s="4" t="s">
        <v>717</v>
      </c>
    </row>
    <row r="294" customFormat="false" ht="15" hidden="false" customHeight="false" outlineLevel="0" collapsed="false">
      <c r="A294" s="0" t="s">
        <v>31</v>
      </c>
      <c r="B294" s="0" t="s">
        <v>43</v>
      </c>
      <c r="C294" s="0" t="n">
        <v>46000</v>
      </c>
      <c r="D294" s="0" t="s">
        <v>39</v>
      </c>
      <c r="E294" s="0" t="s">
        <v>33</v>
      </c>
      <c r="F294" s="0" t="n">
        <v>37.9</v>
      </c>
      <c r="G294" s="0" t="n">
        <v>0.384</v>
      </c>
      <c r="H294" s="0" t="n">
        <v>0.065</v>
      </c>
      <c r="I294" s="0" t="n">
        <v>0.8751</v>
      </c>
      <c r="J294" s="0" t="n">
        <v>0.182359197840007</v>
      </c>
      <c r="K294" s="0" t="n">
        <v>1.08623783885898</v>
      </c>
      <c r="L294" s="0" t="n">
        <v>14.1494924638573</v>
      </c>
      <c r="M294" s="0" t="n">
        <v>1642.85714285714</v>
      </c>
      <c r="N294" s="0" t="n">
        <v>232223</v>
      </c>
      <c r="O294" s="0" t="n">
        <v>42348</v>
      </c>
      <c r="P294" s="0" t="n">
        <v>3251</v>
      </c>
      <c r="Q294" s="0" t="n">
        <v>28</v>
      </c>
      <c r="R294" s="0" t="n">
        <v>0.607</v>
      </c>
      <c r="S294" s="0" t="n">
        <v>0.002</v>
      </c>
      <c r="T294" s="0" t="s">
        <v>34</v>
      </c>
      <c r="U294" s="0" t="n">
        <v>0.2919</v>
      </c>
      <c r="AA294" s="0" t="s">
        <v>718</v>
      </c>
      <c r="AB294" s="0" t="n">
        <f aca="false">FALSE()</f>
        <v>0</v>
      </c>
      <c r="AC294" s="4" t="s">
        <v>719</v>
      </c>
      <c r="AD294" s="4" t="s">
        <v>74</v>
      </c>
      <c r="AE294" s="4" t="s">
        <v>720</v>
      </c>
    </row>
    <row r="295" customFormat="false" ht="15" hidden="false" customHeight="false" outlineLevel="0" collapsed="false">
      <c r="A295" s="0" t="s">
        <v>31</v>
      </c>
      <c r="B295" s="0" t="n">
        <v>5000</v>
      </c>
      <c r="C295" s="0" t="n">
        <v>70000</v>
      </c>
      <c r="D295" s="0" t="s">
        <v>39</v>
      </c>
      <c r="E295" s="0" t="s">
        <v>33</v>
      </c>
      <c r="F295" s="0" t="n">
        <v>26.5</v>
      </c>
      <c r="G295" s="0" t="n">
        <v>0.328</v>
      </c>
      <c r="H295" s="0" t="n">
        <v>0.048</v>
      </c>
      <c r="I295" s="0" t="n">
        <v>0.9452</v>
      </c>
      <c r="J295" s="0" t="n">
        <v>0.125139719103854</v>
      </c>
      <c r="K295" s="0" t="n">
        <v>6.79611650485437</v>
      </c>
      <c r="L295" s="0" t="n">
        <v>126.811594202899</v>
      </c>
      <c r="M295" s="0" t="n">
        <v>34.0632603406326</v>
      </c>
      <c r="N295" s="0" t="n">
        <v>82308</v>
      </c>
      <c r="O295" s="0" t="n">
        <v>10300</v>
      </c>
      <c r="P295" s="0" t="n">
        <v>552</v>
      </c>
      <c r="Q295" s="0" t="n">
        <v>2055</v>
      </c>
      <c r="R295" s="0" t="n">
        <v>0.63</v>
      </c>
      <c r="S295" s="0" t="n">
        <v>0.025</v>
      </c>
      <c r="T295" s="0" t="s">
        <v>34</v>
      </c>
      <c r="U295" s="0" t="s">
        <v>34</v>
      </c>
      <c r="AA295" s="0" t="s">
        <v>721</v>
      </c>
      <c r="AB295" s="0" t="n">
        <f aca="false">FALSE()</f>
        <v>0</v>
      </c>
      <c r="AC295" s="4" t="s">
        <v>722</v>
      </c>
      <c r="AD295" s="4" t="s">
        <v>126</v>
      </c>
      <c r="AE295" s="4" t="s">
        <v>723</v>
      </c>
    </row>
    <row r="296" customFormat="false" ht="15" hidden="false" customHeight="false" outlineLevel="0" collapsed="false">
      <c r="A296" s="0" t="s">
        <v>31</v>
      </c>
      <c r="B296" s="0" t="n">
        <v>11000</v>
      </c>
      <c r="C296" s="0" t="n">
        <v>25000</v>
      </c>
      <c r="D296" s="0" t="s">
        <v>32</v>
      </c>
      <c r="E296" s="0" t="s">
        <v>33</v>
      </c>
      <c r="F296" s="0" t="n">
        <v>29.8</v>
      </c>
      <c r="G296" s="0" t="n">
        <v>0.358</v>
      </c>
      <c r="H296" s="0" t="n">
        <v>0.019</v>
      </c>
      <c r="I296" s="0" t="n">
        <v>0.9881</v>
      </c>
      <c r="J296" s="0" t="n">
        <v>0.138937934258757</v>
      </c>
      <c r="K296" s="0" t="n">
        <v>0.894934669769107</v>
      </c>
      <c r="L296" s="0" t="n">
        <v>9.25925925925926</v>
      </c>
      <c r="M296" s="0" t="n">
        <v>27.1444082519001</v>
      </c>
      <c r="N296" s="0" t="n">
        <v>201061</v>
      </c>
      <c r="O296" s="0" t="n">
        <v>27935</v>
      </c>
      <c r="P296" s="0" t="n">
        <v>2700</v>
      </c>
      <c r="Q296" s="0" t="n">
        <v>921</v>
      </c>
      <c r="R296" s="0" t="n">
        <v>0.791</v>
      </c>
      <c r="S296" s="0" t="n">
        <v>0.046</v>
      </c>
      <c r="T296" s="0" t="s">
        <v>34</v>
      </c>
      <c r="U296" s="0" t="n">
        <v>0.3412</v>
      </c>
      <c r="AA296" s="4" t="s">
        <v>207</v>
      </c>
      <c r="AB296" s="0" t="n">
        <f aca="false">FALSE()</f>
        <v>0</v>
      </c>
      <c r="AC296" s="4" t="s">
        <v>207</v>
      </c>
      <c r="AD296" s="4" t="s">
        <v>122</v>
      </c>
      <c r="AE296" s="4" t="s">
        <v>208</v>
      </c>
    </row>
    <row r="297" customFormat="false" ht="15" hidden="false" customHeight="false" outlineLevel="0" collapsed="false">
      <c r="A297" s="0" t="s">
        <v>31</v>
      </c>
      <c r="B297" s="0" t="n">
        <v>40000</v>
      </c>
      <c r="C297" s="0" t="n">
        <v>40000</v>
      </c>
      <c r="D297" s="0" t="s">
        <v>32</v>
      </c>
      <c r="E297" s="0" t="s">
        <v>33</v>
      </c>
      <c r="F297" s="0" t="n">
        <v>34.2</v>
      </c>
      <c r="G297" s="0" t="n">
        <v>0.144</v>
      </c>
      <c r="H297" s="0" t="n">
        <v>0.145</v>
      </c>
      <c r="I297" s="0" t="n">
        <v>0.9516</v>
      </c>
      <c r="J297" s="0" t="n">
        <v>0.0872797690059996</v>
      </c>
      <c r="K297" s="0" t="n">
        <v>7.92393026941363</v>
      </c>
      <c r="L297" s="0" t="n">
        <v>95.4653937947494</v>
      </c>
      <c r="M297" s="0" t="n">
        <v>1379.31034482759</v>
      </c>
      <c r="N297" s="0" t="n">
        <v>57837</v>
      </c>
      <c r="O297" s="0" t="n">
        <v>5048</v>
      </c>
      <c r="P297" s="0" t="n">
        <v>419</v>
      </c>
      <c r="Q297" s="0" t="n">
        <v>29</v>
      </c>
      <c r="R297" s="0" t="n">
        <v>0.806</v>
      </c>
      <c r="S297" s="0" t="n">
        <v>0.013</v>
      </c>
      <c r="T297" s="0" t="s">
        <v>34</v>
      </c>
      <c r="U297" s="0" t="n">
        <v>0.123</v>
      </c>
      <c r="AA297" s="0" t="s">
        <v>724</v>
      </c>
      <c r="AB297" s="0" t="n">
        <f aca="false">FALSE()</f>
        <v>0</v>
      </c>
      <c r="AC297" s="4" t="s">
        <v>725</v>
      </c>
      <c r="AD297" s="4" t="s">
        <v>37</v>
      </c>
      <c r="AE297" s="4" t="s">
        <v>726</v>
      </c>
    </row>
    <row r="298" customFormat="false" ht="15" hidden="false" customHeight="false" outlineLevel="0" collapsed="false">
      <c r="A298" s="0" t="s">
        <v>31</v>
      </c>
      <c r="B298" s="0" t="n">
        <v>55000</v>
      </c>
      <c r="C298" s="0" t="n">
        <v>130000</v>
      </c>
      <c r="D298" s="0" t="s">
        <v>39</v>
      </c>
      <c r="E298" s="0" t="s">
        <v>59</v>
      </c>
      <c r="F298" s="0" t="n">
        <v>71.1</v>
      </c>
      <c r="G298" s="0" t="n">
        <v>0.143</v>
      </c>
      <c r="H298" s="0" t="n">
        <v>0.044</v>
      </c>
      <c r="I298" s="0" t="n">
        <v>0.9746</v>
      </c>
      <c r="J298" s="0" t="n">
        <v>0.173269818729037</v>
      </c>
      <c r="K298" s="0" t="n">
        <v>1.98776758409786</v>
      </c>
      <c r="L298" s="0" t="n">
        <v>45.8715596330275</v>
      </c>
      <c r="M298" s="0" t="n">
        <v>14.2294220665499</v>
      </c>
      <c r="N298" s="0" t="n">
        <v>377446</v>
      </c>
      <c r="O298" s="0" t="n">
        <v>65400</v>
      </c>
      <c r="P298" s="0" t="n">
        <v>2834</v>
      </c>
      <c r="Q298" s="0" t="n">
        <v>9136</v>
      </c>
      <c r="R298" s="0" t="n">
        <v>0.433</v>
      </c>
      <c r="S298" s="0" t="n">
        <v>0.041</v>
      </c>
      <c r="T298" s="0" t="s">
        <v>34</v>
      </c>
      <c r="U298" s="0" t="s">
        <v>34</v>
      </c>
      <c r="AA298" s="4" t="s">
        <v>727</v>
      </c>
      <c r="AB298" s="0" t="n">
        <f aca="false">FALSE()</f>
        <v>0</v>
      </c>
      <c r="AC298" s="4" t="s">
        <v>727</v>
      </c>
      <c r="AD298" s="4" t="s">
        <v>133</v>
      </c>
      <c r="AE298" s="4" t="s">
        <v>728</v>
      </c>
    </row>
    <row r="299" customFormat="false" ht="15" hidden="false" customHeight="false" outlineLevel="0" collapsed="false">
      <c r="AD299" s="4" t="s">
        <v>122</v>
      </c>
      <c r="AE299" s="4" t="s">
        <v>193</v>
      </c>
    </row>
    <row r="300" customFormat="false" ht="15" hidden="false" customHeight="false" outlineLevel="0" collapsed="false">
      <c r="A300" s="0" t="s">
        <v>31</v>
      </c>
      <c r="B300" s="0" t="n">
        <v>33000</v>
      </c>
      <c r="C300" s="0" t="n">
        <v>39000</v>
      </c>
      <c r="D300" s="0" t="s">
        <v>39</v>
      </c>
      <c r="E300" s="0" t="s">
        <v>33</v>
      </c>
      <c r="F300" s="0" t="n">
        <v>13.3</v>
      </c>
      <c r="G300" s="0" t="n">
        <v>0.319</v>
      </c>
      <c r="H300" s="0" t="n">
        <v>0.04</v>
      </c>
      <c r="I300" s="0" t="n">
        <v>0.7215</v>
      </c>
      <c r="J300" s="0" t="n">
        <v>0.15604647904511</v>
      </c>
      <c r="K300" s="0" t="n">
        <v>1.12955078634112</v>
      </c>
      <c r="L300" s="0" t="n">
        <v>10.5748373101952</v>
      </c>
      <c r="M300" s="0" t="n">
        <v>722.222222222222</v>
      </c>
      <c r="N300" s="0" t="n">
        <v>221261</v>
      </c>
      <c r="O300" s="0" t="n">
        <v>34527</v>
      </c>
      <c r="P300" s="0" t="n">
        <v>3688</v>
      </c>
      <c r="Q300" s="0" t="n">
        <v>54</v>
      </c>
      <c r="R300" s="0" t="n">
        <v>0.63</v>
      </c>
      <c r="S300" s="0" t="n">
        <v>0.021</v>
      </c>
      <c r="T300" s="0" t="s">
        <v>34</v>
      </c>
      <c r="U300" s="0" t="n">
        <v>0.1512</v>
      </c>
      <c r="AA300" s="4" t="s">
        <v>729</v>
      </c>
      <c r="AB300" s="0" t="n">
        <f aca="false">FALSE()</f>
        <v>0</v>
      </c>
      <c r="AC300" s="4" t="s">
        <v>729</v>
      </c>
      <c r="AD300" s="4" t="s">
        <v>122</v>
      </c>
      <c r="AE300" s="4" t="s">
        <v>730</v>
      </c>
    </row>
    <row r="301" customFormat="false" ht="15" hidden="false" customHeight="false" outlineLevel="0" collapsed="false">
      <c r="A301" s="0" t="s">
        <v>31</v>
      </c>
      <c r="B301" s="0" t="n">
        <v>20000</v>
      </c>
      <c r="C301" s="0" t="n">
        <v>35000</v>
      </c>
      <c r="D301" s="0" t="s">
        <v>39</v>
      </c>
      <c r="E301" s="0" t="s">
        <v>33</v>
      </c>
      <c r="F301" s="0" t="n">
        <v>12.9</v>
      </c>
      <c r="G301" s="0" t="n">
        <v>0.175</v>
      </c>
      <c r="H301" s="0" t="n">
        <v>0.058</v>
      </c>
      <c r="I301" s="0" t="n">
        <v>0.8488</v>
      </c>
      <c r="J301" s="0" t="n">
        <v>0.150259520384074</v>
      </c>
      <c r="K301" s="0" t="n">
        <v>1.85146000846382</v>
      </c>
      <c r="L301" s="0" t="n">
        <v>25.0716332378223</v>
      </c>
      <c r="M301" s="0" t="n">
        <v>760.869565217391</v>
      </c>
      <c r="N301" s="0" t="n">
        <v>125809</v>
      </c>
      <c r="O301" s="0" t="n">
        <v>18904</v>
      </c>
      <c r="P301" s="0" t="n">
        <v>1396</v>
      </c>
      <c r="Q301" s="0" t="n">
        <v>46</v>
      </c>
      <c r="R301" s="0" t="n">
        <v>0.515</v>
      </c>
      <c r="S301" s="0" t="n">
        <v>0.046</v>
      </c>
      <c r="T301" s="0" t="n">
        <v>0.1448</v>
      </c>
      <c r="U301" s="0" t="n">
        <v>0.2512</v>
      </c>
      <c r="AA301" s="0" t="s">
        <v>731</v>
      </c>
      <c r="AB301" s="0" t="n">
        <f aca="false">FALSE()</f>
        <v>0</v>
      </c>
      <c r="AC301" s="4" t="s">
        <v>732</v>
      </c>
      <c r="AD301" s="4" t="s">
        <v>126</v>
      </c>
      <c r="AE301" s="4" t="s">
        <v>733</v>
      </c>
    </row>
    <row r="302" customFormat="false" ht="15" hidden="false" customHeight="false" outlineLevel="0" collapsed="false">
      <c r="A302" s="0" t="s">
        <v>31</v>
      </c>
      <c r="B302" s="0" t="n">
        <v>20000</v>
      </c>
      <c r="C302" s="0" t="n">
        <v>29000</v>
      </c>
      <c r="D302" s="0" t="s">
        <v>39</v>
      </c>
      <c r="E302" s="0" t="s">
        <v>33</v>
      </c>
      <c r="F302" s="0" t="n">
        <v>26.2</v>
      </c>
      <c r="G302" s="0" t="n">
        <v>0.092</v>
      </c>
      <c r="H302" s="0" t="n">
        <v>0.041</v>
      </c>
      <c r="I302" s="0" t="n">
        <v>0.9711</v>
      </c>
      <c r="J302" s="0" t="n">
        <v>0.120361882746802</v>
      </c>
      <c r="K302" s="0" t="n">
        <v>1.20033112582781</v>
      </c>
      <c r="L302" s="0" t="n">
        <v>16.4119977362762</v>
      </c>
      <c r="M302" s="0" t="n">
        <v>23.462783171521</v>
      </c>
      <c r="N302" s="0" t="n">
        <v>200728</v>
      </c>
      <c r="O302" s="0" t="n">
        <v>24160</v>
      </c>
      <c r="P302" s="0" t="n">
        <v>1767</v>
      </c>
      <c r="Q302" s="0" t="n">
        <v>1236</v>
      </c>
      <c r="R302" s="0" t="n">
        <v>0.589</v>
      </c>
      <c r="S302" s="0" t="n">
        <v>0.044</v>
      </c>
      <c r="T302" s="0" t="s">
        <v>34</v>
      </c>
      <c r="U302" s="0" t="n">
        <v>0.2921</v>
      </c>
      <c r="AA302" s="0" t="s">
        <v>734</v>
      </c>
      <c r="AB302" s="0" t="n">
        <f aca="false">FALSE()</f>
        <v>0</v>
      </c>
      <c r="AC302" s="4" t="s">
        <v>735</v>
      </c>
      <c r="AD302" s="4" t="s">
        <v>469</v>
      </c>
      <c r="AE302" s="4" t="s">
        <v>736</v>
      </c>
    </row>
    <row r="303" customFormat="false" ht="15" hidden="false" customHeight="false" outlineLevel="0" collapsed="false">
      <c r="A303" s="0" t="s">
        <v>31</v>
      </c>
      <c r="B303" s="0" t="n">
        <v>6000</v>
      </c>
      <c r="C303" s="0" t="n">
        <v>5500</v>
      </c>
      <c r="D303" s="0" t="s">
        <v>32</v>
      </c>
      <c r="E303" s="0" t="s">
        <v>44</v>
      </c>
      <c r="F303" s="0" t="n">
        <v>7.4</v>
      </c>
      <c r="G303" s="0" t="n">
        <v>0.183</v>
      </c>
      <c r="H303" s="0" t="n">
        <v>0.067</v>
      </c>
      <c r="I303" s="0" t="n">
        <v>0.8919</v>
      </c>
      <c r="J303" s="0" t="n">
        <v>0.438056912906007</v>
      </c>
      <c r="K303" s="0" t="n">
        <v>3.60892388451444</v>
      </c>
      <c r="L303" s="0" t="n">
        <v>27.6381909547739</v>
      </c>
      <c r="N303" s="0" t="n">
        <v>3479</v>
      </c>
      <c r="O303" s="0" t="n">
        <v>1524</v>
      </c>
      <c r="P303" s="0" t="n">
        <v>199</v>
      </c>
      <c r="Q303" s="0" t="s">
        <v>34</v>
      </c>
      <c r="R303" s="0" t="n">
        <v>0.954</v>
      </c>
      <c r="S303" s="0" t="n">
        <v>0.005</v>
      </c>
      <c r="T303" s="0" t="s">
        <v>34</v>
      </c>
      <c r="U303" s="0" t="s">
        <v>34</v>
      </c>
      <c r="AA303" s="0" t="s">
        <v>561</v>
      </c>
      <c r="AB303" s="0" t="n">
        <f aca="false">FALSE()</f>
        <v>0</v>
      </c>
      <c r="AC303" s="4" t="s">
        <v>61</v>
      </c>
      <c r="AD303" s="4" t="s">
        <v>62</v>
      </c>
      <c r="AE303" s="4" t="s">
        <v>737</v>
      </c>
    </row>
    <row r="304" customFormat="false" ht="15" hidden="false" customHeight="false" outlineLevel="0" collapsed="false">
      <c r="A304" s="0" t="s">
        <v>31</v>
      </c>
      <c r="B304" s="0" t="n">
        <v>13000</v>
      </c>
      <c r="C304" s="0" t="n">
        <v>14000</v>
      </c>
      <c r="D304" s="0" t="s">
        <v>32</v>
      </c>
      <c r="E304" s="0" t="s">
        <v>33</v>
      </c>
      <c r="F304" s="0" t="n">
        <v>11.8</v>
      </c>
      <c r="G304" s="0" t="n">
        <v>0.107</v>
      </c>
      <c r="H304" s="0" t="n">
        <v>0.087</v>
      </c>
      <c r="I304" s="0" t="n">
        <v>0.8533</v>
      </c>
      <c r="J304" s="0" t="n">
        <v>0.216475040857872</v>
      </c>
      <c r="K304" s="0" t="n">
        <v>0.463576158940397</v>
      </c>
      <c r="L304" s="0" t="n">
        <v>20.2898550724638</v>
      </c>
      <c r="M304" s="0" t="n">
        <v>4666.66666666667</v>
      </c>
      <c r="N304" s="0" t="n">
        <v>139508</v>
      </c>
      <c r="O304" s="0" t="n">
        <v>30200</v>
      </c>
      <c r="P304" s="0" t="n">
        <v>690</v>
      </c>
      <c r="Q304" s="0" t="n">
        <v>3</v>
      </c>
      <c r="R304" s="0" t="n">
        <v>0.995</v>
      </c>
      <c r="S304" s="0" t="n">
        <v>0.001</v>
      </c>
      <c r="T304" s="0" t="n">
        <v>0.026</v>
      </c>
      <c r="U304" s="0" t="s">
        <v>34</v>
      </c>
      <c r="AA304" s="0" t="s">
        <v>738</v>
      </c>
      <c r="AB304" s="0" t="n">
        <f aca="false">FALSE()</f>
        <v>0</v>
      </c>
      <c r="AC304" s="0" t="s">
        <v>738</v>
      </c>
      <c r="AD304" s="4" t="s">
        <v>126</v>
      </c>
      <c r="AE304" s="4" t="s">
        <v>739</v>
      </c>
    </row>
    <row r="305" customFormat="false" ht="15" hidden="false" customHeight="false" outlineLevel="0" collapsed="false">
      <c r="A305" s="0" t="s">
        <v>31</v>
      </c>
      <c r="B305" s="0" t="n">
        <v>8800</v>
      </c>
      <c r="C305" s="0" t="n">
        <v>13000</v>
      </c>
      <c r="D305" s="0" t="s">
        <v>32</v>
      </c>
      <c r="E305" s="0" t="s">
        <v>44</v>
      </c>
      <c r="F305" s="0" t="n">
        <v>9.2</v>
      </c>
      <c r="G305" s="0" t="n">
        <v>0.171</v>
      </c>
      <c r="H305" s="0" t="n">
        <v>0.142</v>
      </c>
      <c r="I305" s="0" t="n">
        <v>0.8134</v>
      </c>
      <c r="J305" s="0" t="n">
        <v>0.473132555376983</v>
      </c>
      <c r="K305" s="0" t="n">
        <v>1.91995273962487</v>
      </c>
      <c r="L305" s="0" t="n">
        <v>40.3726708074534</v>
      </c>
      <c r="N305" s="0" t="n">
        <v>14311</v>
      </c>
      <c r="O305" s="0" t="n">
        <v>6771</v>
      </c>
      <c r="P305" s="0" t="n">
        <v>322</v>
      </c>
      <c r="Q305" s="0" t="s">
        <v>34</v>
      </c>
      <c r="R305" s="0" t="n">
        <v>0.913</v>
      </c>
      <c r="S305" s="0" t="n">
        <v>0.005</v>
      </c>
      <c r="T305" s="0" t="s">
        <v>34</v>
      </c>
      <c r="U305" s="0" t="s">
        <v>34</v>
      </c>
      <c r="AA305" s="0" t="s">
        <v>740</v>
      </c>
      <c r="AB305" s="0" t="n">
        <f aca="false">FALSE()</f>
        <v>0</v>
      </c>
      <c r="AC305" s="4" t="s">
        <v>741</v>
      </c>
      <c r="AD305" s="4" t="s">
        <v>157</v>
      </c>
      <c r="AE305" s="4" t="s">
        <v>742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2025-12-08T10:42:15Z</dcterms:created>
  <dc:creator>openpyxl</dc:creator>
  <dc:description/>
  <dc:language>en-HK</dc:language>
  <cp:lastModifiedBy/>
  <dcterms:modified xsi:type="dcterms:W3CDTF">2025-12-08T10:42:15Z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