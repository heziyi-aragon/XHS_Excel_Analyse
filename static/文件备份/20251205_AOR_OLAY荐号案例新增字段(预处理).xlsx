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荐号(第一轮筛选）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<sst xmlns="http://schemas.openxmlformats.org/spreadsheetml/2006/main" count="1467" uniqueCount="285">
  <si>
    <t xml:space="preserve">18-24≥60%</t>
  </si>
  <si>
    <t xml:space="preserve">beauty占比＞60%
Lifestyle/
Drama类&gt;40%</t>
  </si>
  <si>
    <t xml:space="preserve">Beauty≥21%
Lifestyle/
Drama类≥26%</t>
  </si>
  <si>
    <t xml:space="preserve">Beauty≤0.7
Lifestyle/
Drama类≤0.3</t>
  </si>
  <si>
    <t xml:space="preserve">ctr&amp;cpv满足其一即可2选1</t>
  </si>
  <si>
    <r>
      <rPr>
        <b val="true"/>
        <sz val="9"/>
        <rFont val="Microsoft YaHei"/>
        <family val="0"/>
        <charset val="1"/>
      </rPr>
      <t xml:space="preserve">是否New KOL
</t>
    </r>
    <r>
      <rPr>
        <b val="true"/>
        <sz val="8"/>
        <rFont val="Microsoft YaHei"/>
        <family val="0"/>
        <charset val="1"/>
      </rPr>
      <t xml:space="preserve">（近3个月未合作过olay）</t>
    </r>
  </si>
  <si>
    <t xml:space="preserve">平台图文参考价
    （待核价）</t>
  </si>
  <si>
    <t xml:space="preserve">平台视频参考价
    （待核价）</t>
  </si>
  <si>
    <t xml:space="preserve">Type</t>
  </si>
  <si>
    <t xml:space="preserve">Tier</t>
  </si>
  <si>
    <t xml:space="preserve">粉丝数（w）</t>
  </si>
  <si>
    <t xml:space="preserve">18-24岁粉丝占比</t>
  </si>
  <si>
    <t xml:space="preserve">＞44占比</t>
  </si>
  <si>
    <t xml:space="preserve">女粉占比</t>
  </si>
  <si>
    <t xml:space="preserve">CTR</t>
  </si>
  <si>
    <t xml:space="preserve">CPV</t>
  </si>
  <si>
    <t xml:space="preserve">合作笔记
    平均CPE</t>
  </si>
  <si>
    <t xml:space="preserve">蒲公英前选 CPUV
&lt;￥35</t>
  </si>
  <si>
    <t xml:space="preserve">合作笔记
    曝光数中位值
近30天仅自然流量
    *如果博主近30天无合作笔记，请更新近90天数据，并标灰色</t>
  </si>
  <si>
    <t xml:space="preserve">合作笔记
    阅读数中位值
近30天仅自然流量
    *如果博主近30天无合作笔记，请更新近90天数据，并标灰色</t>
  </si>
  <si>
    <t xml:space="preserve">合作笔记
    互动量中位值
近30天仅自然流量
    *如果博主近30天无合作笔记，请更新近90天数据，并标灰色</t>
  </si>
  <si>
    <t xml:space="preserve">外溢进店中位数
*近30天合作笔记全流量</t>
  </si>
  <si>
    <t xml:space="preserve">合作笔记达人阅读发现页流量来源占比</t>
  </si>
  <si>
    <t xml:space="preserve">合作笔记达人阅读搜索页流量来源占比</t>
  </si>
  <si>
    <t xml:space="preserve">蒲公英前选 CPV优于行业 top50%
图文（优于XX百分比）</t>
  </si>
  <si>
    <t xml:space="preserve">蒲公英前选 CPV优于行业 top50%
视频（优于XX百分比）</t>
  </si>
  <si>
    <t xml:space="preserve">期望档期</t>
  </si>
  <si>
    <t xml:space="preserve">推荐合作形式</t>
  </si>
  <si>
    <t xml:space="preserve">Content Angle
（5大部分）</t>
  </si>
  <si>
    <t xml:space="preserve">子angle</t>
  </si>
  <si>
    <t xml:space="preserve">内容细节
（如有）</t>
  </si>
  <si>
    <t xml:space="preserve">Social是否推荐及理由</t>
  </si>
  <si>
    <t xml:space="preserve">Y</t>
  </si>
  <si>
    <t xml:space="preserve">Beauty</t>
  </si>
  <si>
    <t xml:space="preserve">-</t>
  </si>
  <si>
    <t xml:space="preserve">N，油皮护肤，但是阅读数据有点一般</t>
  </si>
  <si>
    <t xml:space="preserve">Lifestyle</t>
  </si>
  <si>
    <t xml:space="preserve">N，近期阅读数据低</t>
  </si>
  <si>
    <t xml:space="preserve">/</t>
  </si>
  <si>
    <t xml:space="preserve">9月最快档期</t>
  </si>
  <si>
    <t xml:space="preserve">报备合集图文</t>
  </si>
  <si>
    <t xml:space="preserve">护肤combo</t>
  </si>
  <si>
    <t xml:space="preserve">Y，随手po图文种草账号，可以买个几篇备着</t>
  </si>
  <si>
    <t xml:space="preserve">N，更适合做女性成长内容</t>
  </si>
  <si>
    <t xml:space="preserve">N，产品不太适合</t>
  </si>
  <si>
    <t xml:space="preserve">N,内容一般</t>
  </si>
  <si>
    <t xml:space="preserve">N,机构号，合作笔记少，粉丝占比不合理</t>
  </si>
  <si>
    <t xml:space="preserve">学霸向导团——好奇大学一日Tour（中国传媒大学）</t>
  </si>
  <si>
    <t xml:space="preserve">TBD，vlog较多</t>
  </si>
  <si>
    <t xml:space="preserve">N，账号不合适</t>
  </si>
  <si>
    <t xml:space="preserve">一位高校博主代表一座城，让你无论去哪报到，都有参考攻略！（东华理工大学在读）</t>
  </si>
  <si>
    <t xml:space="preserve">N，阅读数据一般</t>
  </si>
  <si>
    <t xml:space="preserve">N，账号类型不合适</t>
  </si>
  <si>
    <t xml:space="preserve">N，不合适</t>
  </si>
  <si>
    <t xml:space="preserve">N，近期数据比较平</t>
  </si>
  <si>
    <t xml:space="preserve">9月末</t>
  </si>
  <si>
    <t xml:space="preserve">报备合集视频</t>
  </si>
  <si>
    <t xml:space="preserve">双十一</t>
  </si>
  <si>
    <t xml:space="preserve">双十一清单</t>
  </si>
  <si>
    <t xml:space="preserve">空瓶主题等</t>
  </si>
  <si>
    <t xml:space="preserve">Y，女大好物推荐</t>
  </si>
  <si>
    <t xml:space="preserve">Drama</t>
  </si>
  <si>
    <t xml:space="preserve">N破圈账号不合适</t>
  </si>
  <si>
    <t xml:space="preserve">N，讲女明星变美内容，账号不合适</t>
  </si>
  <si>
    <t xml:space="preserve">N，男生吃播</t>
  </si>
  <si>
    <t xml:space="preserve">N，暂无合适内容安排</t>
  </si>
  <si>
    <t xml:space="preserve">9月档期</t>
  </si>
  <si>
    <t xml:space="preserve">报备单品视频</t>
  </si>
  <si>
    <t xml:space="preserve">破圈</t>
  </si>
  <si>
    <t xml:space="preserve">genz多元化场景</t>
  </si>
  <si>
    <t xml:space="preserve">是否有适合护肤植入的选题</t>
  </si>
  <si>
    <t xml:space="preserve">TBD。能做抽象主题的美妆博主</t>
  </si>
  <si>
    <t xml:space="preserve">N，机构感重</t>
  </si>
  <si>
    <t xml:space="preserve">N，价格贵，数据一般</t>
  </si>
  <si>
    <t xml:space="preserve">TBD，需要有合适的选题，最好是抖红一起</t>
  </si>
  <si>
    <t xml:space="preserve">N，游子的好物推荐，但数据一般</t>
  </si>
  <si>
    <t xml:space="preserve">N,vlog为主</t>
  </si>
  <si>
    <t xml:space="preserve">N，吃播vlog为主</t>
  </si>
  <si>
    <t xml:space="preserve">N，主要都是妆容</t>
  </si>
  <si>
    <t xml:space="preserve">N，做医美比较多，比较适合prox</t>
  </si>
  <si>
    <t xml:space="preserve">N，数据一般</t>
  </si>
  <si>
    <t xml:space="preserve">N，内容不够吸睛，男粉较多</t>
  </si>
  <si>
    <t xml:space="preserve">N，情侣日常vlog</t>
  </si>
  <si>
    <t xml:space="preserve">N，机构号，更新频率低</t>
  </si>
  <si>
    <t xml:space="preserve">N，sem类型账号</t>
  </si>
  <si>
    <t xml:space="preserve">TBD,可以做双十一的合集类型内容，但是如内容调整，就不做</t>
  </si>
  <si>
    <t xml:space="preserve">N，数据下滑比较明显</t>
  </si>
  <si>
    <t xml:space="preserve">已bd</t>
  </si>
  <si>
    <t xml:space="preserve">N，粉丝年龄层偏大，不是genz用户人群爱看的翻包</t>
  </si>
  <si>
    <t xml:space="preserve">N，暂无合适的内容方向</t>
  </si>
  <si>
    <t xml:space="preserve">N，粉丝年龄层偏大，不适合我们的回复负评类型</t>
  </si>
  <si>
    <t xml:space="preserve">报备单品图文</t>
  </si>
  <si>
    <t xml:space="preserve">单品种草</t>
  </si>
  <si>
    <t xml:space="preserve">负评回应</t>
  </si>
  <si>
    <t xml:space="preserve">可以参考这条，讲olay新版小白瓶打动我的地方，回击负评，https://www.xiaohongshu.com/explore/68aebcdf000000001d00dc45?xsec_token=MB4KxlwiNg0oEDMiVlIW0rf0kqoCJA843dip3KznuQ4r8=&amp;xsec_source=pc_pgy</t>
  </si>
  <si>
    <t xml:space="preserve">TBD，专业测评类型的博主，是真实测，但是日常和商单数据偏差较大</t>
  </si>
  <si>
    <t xml:space="preserve">N，数据还不错，但是商单产品有点杂</t>
  </si>
  <si>
    <t xml:space="preserve">TBD，内容还可以，不是纯纯的vlog类型，可以丝滑植入打工人疲态暗黄美白精华，但是数据感觉有点水分</t>
  </si>
  <si>
    <t xml:space="preserve">N，已经很久没更新了，发日常数据未回归</t>
  </si>
  <si>
    <t xml:space="preserve">T4</t>
  </si>
  <si>
    <t xml:space="preserve">N，数据下滑明显</t>
  </si>
  <si>
    <t xml:space="preserve">N，数据有水分</t>
  </si>
  <si>
    <t xml:space="preserve">N，不要vlog类型的博主了</t>
  </si>
  <si>
    <t xml:space="preserve">重复提号，N</t>
  </si>
  <si>
    <t xml:space="preserve">N，数据一般的T1账号</t>
  </si>
  <si>
    <t xml:space="preserve">N，男生破圈账号，账号不合适</t>
  </si>
  <si>
    <t xml:space="preserve">N，近期阅读数据一般</t>
  </si>
  <si>
    <t xml:space="preserve">重复提号</t>
  </si>
  <si>
    <t xml:space="preserve">N，7月刚合作了</t>
  </si>
  <si>
    <t xml:space="preserve">N，好物清单账号，账号阅读数据一般</t>
  </si>
  <si>
    <t xml:space="preserve">N，价格贵，阅读低</t>
  </si>
  <si>
    <t xml:space="preserve">N，阅读数据差</t>
  </si>
  <si>
    <t xml:space="preserve">N，7月刚合作了淡斑</t>
  </si>
  <si>
    <t xml:space="preserve">N，美女颜值护肤，价格有点小贵</t>
  </si>
  <si>
    <t xml:space="preserve">N，价格贵，美女颜值</t>
  </si>
  <si>
    <t xml:space="preserve">N，阅读数据差，无合适内容安排</t>
  </si>
  <si>
    <t xml:space="preserve">N，阅读数据低，近期没有数据过一万的</t>
  </si>
  <si>
    <t xml:space="preserve">N，更新频率低，阅读数据差</t>
  </si>
  <si>
    <t xml:space="preserve">N，内容一般，阅读数据低</t>
  </si>
  <si>
    <t xml:space="preserve">N，妆容博主</t>
  </si>
  <si>
    <t xml:space="preserve">N，妆容博主，彩妆较多</t>
  </si>
  <si>
    <t xml:space="preserve">N，更新频率低，账号不合适</t>
  </si>
  <si>
    <t xml:space="preserve">CMS种草</t>
  </si>
  <si>
    <t xml:space="preserve">熬夜累丑</t>
  </si>
  <si>
    <t xml:space="preserve">皮肤要显贵，基础款就不要搭配基础款</t>
  </si>
  <si>
    <t xml:space="preserve">Y，适合讲下烟酰胺=维B概念，近期爆文跟我们产品切入很匹配（普女逆袭，爱喝奶茶咖啡）</t>
  </si>
  <si>
    <t xml:space="preserve">Y，可以拍妈妈带娃，熬夜状态不佳</t>
  </si>
  <si>
    <t xml:space="preserve">52,3</t>
  </si>
  <si>
    <t xml:space="preserve">N，vlog为主，进店数据差</t>
  </si>
  <si>
    <t xml:space="preserve">N，数据表现一般</t>
  </si>
  <si>
    <t xml:space="preserve">N，vlog为主，不合适</t>
  </si>
  <si>
    <t xml:space="preserve">N，贵vlog为主，不合适</t>
  </si>
  <si>
    <t xml:space="preserve">合集种草</t>
  </si>
  <si>
    <t xml:space="preserve">Y,数据不错，适合做护肤routine</t>
  </si>
  <si>
    <t xml:space="preserve">N,情侣账号不合适</t>
  </si>
  <si>
    <t xml:space="preserve">N，机构号，很摆拍</t>
  </si>
  <si>
    <t xml:space="preserve">明星角度，偷师女明星用维B，被生活掏空，也能养出超绝气血感</t>
  </si>
  <si>
    <t xml:space="preserve">Y，账号蹭过张元英，也分享零食美食。适合二者结合拍</t>
  </si>
  <si>
    <t xml:space="preserve">N,总共就4篇笔记，更新频率低</t>
  </si>
  <si>
    <t xml:space="preserve">10月</t>
  </si>
  <si>
    <t xml:space="preserve">报备视频</t>
  </si>
  <si>
    <t xml:space="preserve">双十一大促</t>
  </si>
  <si>
    <t xml:space="preserve">LJQ开箱</t>
  </si>
  <si>
    <t xml:space="preserve">Y，粉丝18-24占比57%，近期开箱视频评论区1k+</t>
  </si>
  <si>
    <t xml:space="preserve">N，贵 数据表现一般</t>
  </si>
  <si>
    <t xml:space="preserve">N,粉丝群太小，消费力不足</t>
  </si>
  <si>
    <t xml:space="preserve">N，没有合适的内容</t>
  </si>
  <si>
    <t xml:space="preserve">N，主力粉丝群不合适，更适合淡斑精华</t>
  </si>
  <si>
    <t xml:space="preserve">9月</t>
  </si>
  <si>
    <t xml:space="preserve">护肤routine</t>
  </si>
  <si>
    <t xml:space="preserve">Y，ASMR沉浸式护肤，账号类型很适合展示质地</t>
  </si>
  <si>
    <t xml:space="preserve">N，8月合作过</t>
  </si>
  <si>
    <t xml:space="preserve">N，男粉多，粉丝年龄多在25+</t>
  </si>
  <si>
    <t xml:space="preserve">N，更适合淡斑抗老精华</t>
  </si>
  <si>
    <t xml:space="preserve">N，数据一般，粉丝年龄多在25+</t>
  </si>
  <si>
    <t xml:space="preserve">TBD，主持人，进店数据非常好
好像更适合另外两款精华</t>
  </si>
  <si>
    <t xml:space="preserve">N，粉丝年龄小</t>
  </si>
  <si>
    <t xml:space="preserve">N，机构号 不真实</t>
  </si>
  <si>
    <t xml:space="preserve">N，数据水 机构号</t>
  </si>
  <si>
    <t xml:space="preserve">N，阅读数据不稳定</t>
  </si>
  <si>
    <t xml:space="preserve">N，数据不好 不合适</t>
  </si>
  <si>
    <t xml:space="preserve">9月底10月初</t>
  </si>
  <si>
    <t xml:space="preserve">逆转口碑</t>
  </si>
  <si>
    <t xml:space="preserve">Y，进店数据还可以</t>
  </si>
  <si>
    <t xml:space="preserve">N，vlog为主，数据不稳定</t>
  </si>
  <si>
    <t xml:space="preserve">N，摆拍机构号</t>
  </si>
  <si>
    <t xml:space="preserve">Y，固定洗漱台分享好物，形式可以</t>
  </si>
  <si>
    <t xml:space="preserve">Y，账号很有风格，很适合沉浸式护肤</t>
  </si>
  <si>
    <t xml:space="preserve">N,vlog为主 阅读数据不好</t>
  </si>
  <si>
    <t xml:space="preserve">熬夜累丑场景种草</t>
  </si>
  <si>
    <t xml:space="preserve">大学老师身份，全英Vlog讲产品</t>
  </si>
  <si>
    <t xml:space="preserve">TBD，自带人设身份，可以有熬夜场景，但还是以vlog为主，数据不稳定</t>
  </si>
  <si>
    <t xml:space="preserve">Combo合集种草</t>
  </si>
  <si>
    <t xml:space="preserve">D11爆品Combo</t>
  </si>
  <si>
    <t xml:space="preserve">Y，车内拍摄产品 进店数据不错，但有点精致摆拍感，可以做一下爆品combo</t>
  </si>
  <si>
    <t xml:space="preserve">N，账号类型可以，但进店数很差</t>
  </si>
  <si>
    <t xml:space="preserve">N，电影感vlog 不适合我们产品</t>
  </si>
  <si>
    <t xml:space="preserve">N，阅读数据很一般</t>
  </si>
  <si>
    <t xml:space="preserve">N，vlog账号，接的合作数据都很稳定，近期刚发的娇韵诗也不错，可以自然带肌肤糖优化/熬夜累丑</t>
  </si>
  <si>
    <t xml:space="preserve">N，不露脸讲质地的好物账号，不合适</t>
  </si>
  <si>
    <t xml:space="preserve">肌肤焦糖化</t>
  </si>
  <si>
    <t xml:space="preserve">焦糖化教育</t>
  </si>
  <si>
    <t xml:space="preserve">Y，变美账号，数据表现都不错，可以从焦糖化教育讲怎么变美</t>
  </si>
  <si>
    <t xml:space="preserve">Y，外企打工人设</t>
  </si>
  <si>
    <t xml:space="preserve">N，机构账号 太假</t>
  </si>
  <si>
    <t xml:space="preserve">Y，00后学习型账号，之前粉笔教育数据，阅读数据好。适合植入考公也要注意美白护肤</t>
  </si>
  <si>
    <t xml:space="preserve">N，一人分饰多角剧情号</t>
  </si>
  <si>
    <t xml:space="preserve">N，情侣剧情号不要了</t>
  </si>
  <si>
    <t xml:space="preserve">N，机构号</t>
  </si>
  <si>
    <t xml:space="preserve">Y,三人剧情号，可拍三人用完后的不同感受</t>
  </si>
  <si>
    <t xml:space="preserve">N，家居博主</t>
  </si>
  <si>
    <t xml:space="preserve">N，互动数据不好</t>
  </si>
  <si>
    <t xml:space="preserve">N，阅读数据不好</t>
  </si>
  <si>
    <t xml:space="preserve">N，合作笔记表现一般</t>
  </si>
  <si>
    <t xml:space="preserve">N，阅读数太差了</t>
  </si>
  <si>
    <t xml:space="preserve">N，进店数据差</t>
  </si>
  <si>
    <t xml:space="preserve">N，以前伦敦金融城人设不错，但现在回国了</t>
  </si>
  <si>
    <t xml:space="preserve">N，合作护肤评论数据不好</t>
  </si>
  <si>
    <t xml:space="preserve">N，彩妆号 评论数据一般</t>
  </si>
  <si>
    <t xml:space="preserve">N，彩妆号 数据一般</t>
  </si>
  <si>
    <t xml:space="preserve">N，合作过妮维雅 评论数据不好</t>
  </si>
  <si>
    <t xml:space="preserve">N，vlog为主</t>
  </si>
  <si>
    <t xml:space="preserve">N，vlog为主 数据一般</t>
  </si>
  <si>
    <t xml:space="preserve">N，进店数据不好</t>
  </si>
  <si>
    <t xml:space="preserve">Y,阅读互动都不错，可拍古法养生+小白瓶 1+1大于二的效果</t>
  </si>
  <si>
    <t xml:space="preserve">KCP Content</t>
  </si>
  <si>
    <t xml:space="preserve">李佳琦机制</t>
  </si>
  <si>
    <t xml:space="preserve">Y，进店数据不错，可以发优惠和产品结合</t>
  </si>
  <si>
    <t xml:space="preserve">Y，教手机拍照的图文好，进店数很好，可以试试 价格合适</t>
  </si>
  <si>
    <t xml:space="preserve">N，阅读不好</t>
  </si>
  <si>
    <t xml:space="preserve">肌肤焦糖化场景种草</t>
  </si>
  <si>
    <t xml:space="preserve">TBD,阅读稳定 进店数据好，合作过护肤，可以试试</t>
  </si>
  <si>
    <t xml:space="preserve">TBD，评论数据挺好的，爱发好物分享 长相也适合 这种我们考虑嘛</t>
  </si>
  <si>
    <t xml:space="preserve">Y，阅读数据稳定，进店数据可以</t>
  </si>
  <si>
    <t xml:space="preserve">N,评论数据一般</t>
  </si>
  <si>
    <t xml:space="preserve">N，进店数太差</t>
  </si>
  <si>
    <t xml:space="preserve">Y，阅读点赞都不错 可以拍初代同事
https://www.xiaohongshu.com/explore/68a3def9000000001d038428?xsec_token=ABsNku1gRYNpHgwVlKqXLdv8xT7cOtjDK0WJN5QnSK3tE=&amp;xsec_source=pc_user&amp;source=web_user_page</t>
  </si>
  <si>
    <t xml:space="preserve">9月29日-10月8日，曼谷+普吉岛
感受海岛风光🏝️情侣打卡实测</t>
  </si>
  <si>
    <t xml:space="preserve">TBD，有出行计划</t>
  </si>
  <si>
    <t xml:space="preserve">N，阅读不稳定</t>
  </si>
  <si>
    <t xml:space="preserve">N，刚合作</t>
  </si>
  <si>
    <t xml:space="preserve">Y，数据好，进店特别好！</t>
  </si>
  <si>
    <t xml:space="preserve">N，合作数据一般</t>
  </si>
  <si>
    <t xml:space="preserve">N，粉丝年龄层偏大</t>
  </si>
  <si>
    <t xml:space="preserve">N，内容差</t>
  </si>
  <si>
    <t xml:space="preserve">N，sem水号，近期内容一般</t>
  </si>
  <si>
    <t xml:space="preserve">N，内容一般</t>
  </si>
  <si>
    <t xml:space="preserve">Y，图文博主，建议先bd补9月图文内容</t>
  </si>
  <si>
    <t xml:space="preserve">N，sem水号</t>
  </si>
  <si>
    <t xml:space="preserve">N，合作笔记少</t>
  </si>
  <si>
    <t xml:space="preserve">TBD，之前有合作过，精致图文风博主</t>
  </si>
  <si>
    <t xml:space="preserve">建议做成旅途翻包形式</t>
  </si>
  <si>
    <t xml:space="preserve">Y，可以做旅途翻包tie国庆旅行</t>
  </si>
  <si>
    <t xml:space="preserve">N，数据差</t>
  </si>
  <si>
    <t xml:space="preserve">N，发布频次低</t>
  </si>
  <si>
    <t xml:space="preserve">HTU/新旧对比/SEM</t>
  </si>
  <si>
    <t xml:space="preserve">新旧对比</t>
  </si>
  <si>
    <t xml:space="preserve">Y，拍摄封面挺有特色</t>
  </si>
  <si>
    <t xml:space="preserve">N，合作数据评论太差</t>
  </si>
  <si>
    <t xml:space="preserve">N，阅读太差了</t>
  </si>
  <si>
    <t xml:space="preserve">TBD，进店一般 合作两条护肤数据还可以，适合展示产品使用质地之类的</t>
  </si>
  <si>
    <t xml:space="preserve">N，粉丝年龄层不合适</t>
  </si>
  <si>
    <t xml:space="preserve">双十一好物分享</t>
  </si>
  <si>
    <t xml:space="preserve">Y，适合做学生党双十一必买清单推荐</t>
  </si>
  <si>
    <t xml:space="preserve">N，数据太假了</t>
  </si>
  <si>
    <t xml:space="preserve">N，9月已经合作了</t>
  </si>
  <si>
    <t xml:space="preserve">N,合作阅读数据差</t>
  </si>
  <si>
    <t xml:space="preserve">N，合作阅读不稳定</t>
  </si>
  <si>
    <t xml:space="preserve">N，拍照账号 不适合植入</t>
  </si>
  <si>
    <t xml:space="preserve">N，合作的护肤，数据都一般</t>
  </si>
  <si>
    <t xml:space="preserve">N，阅读贵进店贵</t>
  </si>
  <si>
    <t xml:space="preserve">N，假号 评论水</t>
  </si>
  <si>
    <t xml:space="preserve">N,合作阅读还没有报价多，不要了</t>
  </si>
  <si>
    <t xml:space="preserve">N，阅读太低了</t>
  </si>
  <si>
    <t xml:space="preserve">N，进店贵</t>
  </si>
  <si>
    <t xml:space="preserve">45.11%
</t>
  </si>
  <si>
    <t xml:space="preserve">N,彩妆数据更好</t>
  </si>
  <si>
    <t xml:space="preserve">N，都是美女vlog，数据一般</t>
  </si>
  <si>
    <t xml:space="preserve">N，阅读比较低的图文号</t>
  </si>
  <si>
    <t xml:space="preserve">N，太水了</t>
  </si>
  <si>
    <t xml:space="preserve">N，发布很少，内容一般</t>
  </si>
  <si>
    <t xml:space="preserve">重复提号,N</t>
  </si>
  <si>
    <t xml:space="preserve">N，评论区很水</t>
  </si>
  <si>
    <t xml:space="preserve">N，近期阅读数据很低</t>
  </si>
  <si>
    <t xml:space="preserve">N，发布少，内容一般</t>
  </si>
  <si>
    <t xml:space="preserve">N,内容很乱</t>
  </si>
  <si>
    <t xml:space="preserve">N，近期阅读低，进店一般</t>
  </si>
  <si>
    <t xml:space="preserve">N,阅读数据差</t>
  </si>
  <si>
    <t xml:space="preserve">N,阅读不稳定</t>
  </si>
  <si>
    <t xml:space="preserve">Y，工位摸鱼摆摊 类型很不错数据优 可以拍给同事护肤</t>
  </si>
  <si>
    <t xml:space="preserve">N，前两天刚发过小白瓶</t>
  </si>
  <si>
    <t xml:space="preserve">N，阅读不稳进店贵</t>
  </si>
  <si>
    <t xml:space="preserve">N，阅读一般</t>
  </si>
  <si>
    <t xml:space="preserve">N，价格贵，但合作笔记阅读低</t>
  </si>
  <si>
    <t xml:space="preserve">N，价格贵，账号内容一般</t>
  </si>
  <si>
    <t xml:space="preserve">N，更新频率低</t>
  </si>
  <si>
    <t xml:space="preserve">N，夫妻账号，更适合prox</t>
  </si>
  <si>
    <t xml:space="preserve">N，价格贵，更新慢，数据低</t>
  </si>
  <si>
    <t xml:space="preserve">N，合作了黑管，但是阅读数据很低</t>
  </si>
  <si>
    <t xml:space="preserve">重复N，老网红，首页数据一般</t>
  </si>
  <si>
    <t xml:space="preserve">重复N</t>
  </si>
  <si>
    <t xml:space="preserve">N，价格贵，数据差，人设不合适</t>
  </si>
  <si>
    <t xml:space="preserve">N，妈妈人设都是穿搭</t>
  </si>
  <si>
    <t xml:space="preserve">TBD，有点贵的SEM号，实在缺账号的话，可以先bd</t>
  </si>
  <si>
    <t xml:space="preserve">N，更新慢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</si>
</sst>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.00%"/>
    <numFmt numFmtId="167" formatCode="0.0"/>
    <numFmt numFmtId="168" formatCode="#,##0"/>
    <numFmt numFmtId="169" formatCode="0.00\ "/>
    <numFmt numFmtId="170" formatCode="0%"/>
  </numFmts>
  <fonts count="10">
    <font>
      <sz val="12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Microsoft YaHei"/>
      <family val="0"/>
      <charset val="1"/>
    </font>
    <font>
      <b val="true"/>
      <sz val="8"/>
      <name val="Microsoft YaHei"/>
      <family val="0"/>
      <charset val="1"/>
    </font>
    <font>
      <b val="true"/>
      <sz val="10"/>
      <name val="Microsoft YaHei"/>
      <family val="0"/>
      <charset val="1"/>
    </font>
    <font>
      <sz val="10"/>
      <name val="Microsoft YaHei"/>
      <family val="0"/>
      <charset val="1"/>
    </font>
    <font>
      <sz val="9"/>
      <name val="Microsoft YaHei"/>
      <family val="0"/>
      <charset val="1"/>
    </font>
    <font>
      <sz val="12"/>
      <color rgb="FF0000FF"/>
      <name val="Microsoft Ya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xiaohongshu.com/explore/68aebcdf000000001d00dc45?xsec_token=MB4KxlwiNg0oEDMiVlIW0rf0kqoCJA843dip3KznuQ4r8=&amp;xsec_source=pc_pgy" TargetMode="External"/><Relationship Id="rId2" Type="http://schemas.openxmlformats.org/officeDocument/2006/relationships/hyperlink" Target="https://www.xiaohongshu.com/explore/68a3def9000000001d038428?xsec_token=ABsNku1gRYNpHgwVlKqXLdv8xT7cOtjDK0WJN5QnSK3tE=&amp;xsec_source=pc_user&amp;source=web_user_pag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4.37890625" defaultRowHeight="18" zeroHeight="false" outlineLevelRow="0" outlineLevelCol="0"/>
  <cols>
    <col collapsed="false" customWidth="false" hidden="false" outlineLevel="0" max="1" min="1" style="1" width="14.35"/>
    <col collapsed="false" customWidth="true" hidden="false" outlineLevel="0" max="3" min="2" style="1" width="13.68"/>
    <col collapsed="false" customWidth="false" hidden="false" outlineLevel="0" max="5" min="4" style="1" width="14.35"/>
    <col collapsed="false" customWidth="true" hidden="false" outlineLevel="0" max="6" min="6" style="1" width="11.67"/>
    <col collapsed="false" customWidth="false" hidden="false" outlineLevel="0" max="21" min="7" style="1" width="14.35"/>
    <col collapsed="false" customWidth="true" hidden="false" outlineLevel="0" max="22" min="22" style="1" width="13.68"/>
    <col collapsed="false" customWidth="false" hidden="false" outlineLevel="0" max="26" min="23" style="1" width="14.35"/>
    <col collapsed="false" customWidth="true" hidden="false" outlineLevel="0" max="27" min="27" style="1" width="13.68"/>
    <col collapsed="false" customWidth="false" hidden="false" outlineLevel="0" max="1001" min="28" style="1" width="14.35"/>
    <col collapsed="false" customWidth="true" hidden="false" outlineLevel="0" max="1024" min="1002" style="0" width="9.61"/>
  </cols>
  <sheetData>
    <row r="1" customFormat="false" ht="21.75" hidden="false" customHeight="true" outlineLevel="0" collapsed="false">
      <c r="A1" s="2"/>
      <c r="B1" s="3"/>
      <c r="C1" s="3"/>
      <c r="D1" s="4"/>
      <c r="E1" s="4"/>
      <c r="F1" s="4"/>
      <c r="G1" s="5" t="s">
        <v>0</v>
      </c>
      <c r="H1" s="3"/>
      <c r="I1" s="5" t="s">
        <v>1</v>
      </c>
      <c r="J1" s="5" t="s">
        <v>2</v>
      </c>
      <c r="K1" s="5" t="s">
        <v>3</v>
      </c>
      <c r="L1" s="5" t="s">
        <v>4</v>
      </c>
      <c r="M1" s="6"/>
      <c r="N1" s="6"/>
      <c r="O1" s="6"/>
      <c r="P1" s="6"/>
      <c r="Q1" s="4"/>
      <c r="R1" s="4"/>
      <c r="S1" s="4"/>
      <c r="T1" s="4"/>
      <c r="U1" s="4"/>
      <c r="V1" s="7"/>
      <c r="W1" s="4"/>
      <c r="X1" s="3"/>
      <c r="Y1" s="4"/>
      <c r="Z1" s="3"/>
      <c r="AA1" s="3"/>
    </row>
    <row r="2" customFormat="false" ht="39.75" hidden="false" customHeight="true" outlineLevel="0" collapsed="false">
      <c r="A2" s="5" t="s">
        <v>5</v>
      </c>
      <c r="B2" s="5" t="s">
        <v>6</v>
      </c>
      <c r="C2" s="5" t="s">
        <v>7</v>
      </c>
      <c r="D2" s="8" t="s">
        <v>8</v>
      </c>
      <c r="E2" s="8" t="s">
        <v>9</v>
      </c>
      <c r="F2" s="8" t="s">
        <v>10</v>
      </c>
      <c r="G2" s="9" t="s">
        <v>11</v>
      </c>
      <c r="H2" s="5" t="s">
        <v>12</v>
      </c>
      <c r="I2" s="9" t="s">
        <v>13</v>
      </c>
      <c r="J2" s="9" t="s">
        <v>14</v>
      </c>
      <c r="K2" s="9" t="s">
        <v>15</v>
      </c>
      <c r="L2" s="5" t="s">
        <v>16</v>
      </c>
      <c r="M2" s="5" t="s">
        <v>17</v>
      </c>
      <c r="N2" s="10" t="s">
        <v>18</v>
      </c>
      <c r="O2" s="10" t="s">
        <v>19</v>
      </c>
      <c r="P2" s="10" t="s">
        <v>20</v>
      </c>
      <c r="Q2" s="11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9" t="s">
        <v>26</v>
      </c>
      <c r="W2" s="9" t="s">
        <v>27</v>
      </c>
      <c r="X2" s="5" t="s">
        <v>28</v>
      </c>
      <c r="Y2" s="9" t="s">
        <v>29</v>
      </c>
      <c r="Z2" s="5" t="s">
        <v>30</v>
      </c>
      <c r="AA2" s="5" t="s">
        <v>31</v>
      </c>
    </row>
    <row r="3" customFormat="false" ht="18" hidden="false" customHeight="true" outlineLevel="0" collapsed="false">
      <c r="A3" s="12" t="s">
        <v>32</v>
      </c>
      <c r="B3" s="13" t="n">
        <v>9500</v>
      </c>
      <c r="C3" s="13" t="n">
        <v>14000</v>
      </c>
      <c r="D3" s="12" t="s">
        <v>33</v>
      </c>
      <c r="E3" s="13" t="str">
        <f aca="false" t="array" ref="E3:E3">IF(F3&gt;100,"T1",IF(F3&gt;50,"T2",IF(F3&gt;10,"T3",IF(F3&gt;1,"T4",IF(F3=0,"TBD","T5")))))</f>
        <v>T3</v>
      </c>
      <c r="F3" s="13" t="n">
        <v>15.6</v>
      </c>
      <c r="G3" s="14" t="n">
        <v>0.483</v>
      </c>
      <c r="H3" s="15" t="n">
        <v>0.048</v>
      </c>
      <c r="I3" s="14" t="n">
        <v>0.9419</v>
      </c>
      <c r="J3" s="14" t="n">
        <f aca="false" t="array" ref="J3:J3">O3/N3</f>
        <v>0.113310187037007</v>
      </c>
      <c r="K3" s="16" t="n">
        <f aca="false" t="array" ref="K3:K3">C3/O3</f>
        <v>0.988421349901158</v>
      </c>
      <c r="L3" s="16" t="n">
        <f aca="false" t="array" ref="L3:L3">C3/P3</f>
        <v>8.23045267489712</v>
      </c>
      <c r="M3" s="17" t="n">
        <f aca="false" t="array" ref="M3:M3">C3/Q3</f>
        <v>9.40860215053763</v>
      </c>
      <c r="N3" s="17" t="n">
        <v>125002</v>
      </c>
      <c r="O3" s="17" t="n">
        <v>14164</v>
      </c>
      <c r="P3" s="17" t="n">
        <v>1701</v>
      </c>
      <c r="Q3" s="17" t="n">
        <v>1488</v>
      </c>
      <c r="R3" s="14" t="n">
        <v>0.791</v>
      </c>
      <c r="S3" s="14" t="n">
        <v>0.079</v>
      </c>
      <c r="T3" s="12" t="s">
        <v>34</v>
      </c>
      <c r="U3" s="14" t="n">
        <v>0.5081</v>
      </c>
      <c r="V3" s="18"/>
      <c r="W3" s="13"/>
      <c r="X3" s="13"/>
      <c r="Y3" s="13"/>
      <c r="Z3" s="19"/>
      <c r="AA3" s="20" t="s">
        <v>35</v>
      </c>
    </row>
    <row r="4" customFormat="false" ht="18" hidden="false" customHeight="true" outlineLevel="0" collapsed="false">
      <c r="A4" s="12" t="s">
        <v>32</v>
      </c>
      <c r="B4" s="13" t="n">
        <v>17000</v>
      </c>
      <c r="C4" s="13" t="n">
        <v>24000</v>
      </c>
      <c r="D4" s="12" t="s">
        <v>36</v>
      </c>
      <c r="E4" s="13" t="str">
        <f aca="false" t="array" ref="E4:E4">IF(F4&gt;100,"T1",IF(F4&gt;50,"T2",IF(F4&gt;10,"T3",IF(F4&gt;1,"T4",IF(F4=0,"TBD","T5")))))</f>
        <v>T3</v>
      </c>
      <c r="F4" s="13" t="n">
        <v>28.4</v>
      </c>
      <c r="G4" s="14" t="n">
        <v>0.36</v>
      </c>
      <c r="H4" s="15" t="n">
        <v>0.031</v>
      </c>
      <c r="I4" s="14" t="n">
        <v>0.9331</v>
      </c>
      <c r="J4" s="14" t="n">
        <f aca="false" t="array" ref="J4:J4">O4/N4</f>
        <v>0.315447495284008</v>
      </c>
      <c r="K4" s="16" t="n">
        <f aca="false" t="array" ref="K4:K4">C4/O4</f>
        <v>1.1390602752729</v>
      </c>
      <c r="L4" s="16" t="n">
        <f aca="false" t="array" ref="L4:L4">C4/P4</f>
        <v>13.4755755193711</v>
      </c>
      <c r="M4" s="17" t="e">
        <f aca="false" t="array" ref="M4:M4">C4/Q4</f>
        <v>#VALUE!</v>
      </c>
      <c r="N4" s="17" t="n">
        <v>66794</v>
      </c>
      <c r="O4" s="17" t="n">
        <v>21070</v>
      </c>
      <c r="P4" s="13" t="n">
        <v>1781</v>
      </c>
      <c r="Q4" s="12" t="s">
        <v>34</v>
      </c>
      <c r="R4" s="14" t="n">
        <v>0.792</v>
      </c>
      <c r="S4" s="14" t="n">
        <v>0</v>
      </c>
      <c r="T4" s="12" t="s">
        <v>34</v>
      </c>
      <c r="U4" s="12" t="s">
        <v>34</v>
      </c>
      <c r="V4" s="18"/>
      <c r="W4" s="13"/>
      <c r="X4" s="13"/>
      <c r="Y4" s="13"/>
      <c r="Z4" s="19"/>
      <c r="AA4" s="21" t="s">
        <v>37</v>
      </c>
    </row>
    <row r="5" customFormat="false" ht="18" hidden="false" customHeight="true" outlineLevel="0" collapsed="false">
      <c r="A5" s="12" t="s">
        <v>32</v>
      </c>
      <c r="B5" s="13" t="n">
        <v>3000</v>
      </c>
      <c r="C5" s="12" t="s">
        <v>38</v>
      </c>
      <c r="D5" s="12" t="s">
        <v>33</v>
      </c>
      <c r="E5" s="13" t="str">
        <f aca="false" t="array" ref="E5:E5">IF(F5&gt;100,"T1",IF(F5&gt;50,"T2",IF(F5&gt;10,"T3",IF(F5&gt;1,"T4",IF(F5=0,"TBD","T5")))))</f>
        <v>T4</v>
      </c>
      <c r="F5" s="13" t="n">
        <v>2.5</v>
      </c>
      <c r="G5" s="14" t="n">
        <v>0.453</v>
      </c>
      <c r="H5" s="15" t="n">
        <v>0.042</v>
      </c>
      <c r="I5" s="14" t="n">
        <v>0.8718</v>
      </c>
      <c r="J5" s="14" t="n">
        <f aca="false" t="array" ref="J5:J5">O5/N5</f>
        <v>0.211092275383954</v>
      </c>
      <c r="K5" s="16" t="n">
        <f aca="false" t="array" ref="K5:K5">B5/O5</f>
        <v>0.359582883854728</v>
      </c>
      <c r="L5" s="16" t="n">
        <f aca="false" t="array" ref="L5:L5">B5/P5</f>
        <v>4.41826215022091</v>
      </c>
      <c r="M5" s="17" t="n">
        <f aca="false" t="array" ref="M5:M5">B5/Q5</f>
        <v>300</v>
      </c>
      <c r="N5" s="17" t="n">
        <v>39523</v>
      </c>
      <c r="O5" s="17" t="n">
        <v>8343</v>
      </c>
      <c r="P5" s="13" t="n">
        <v>679</v>
      </c>
      <c r="Q5" s="13" t="n">
        <v>10</v>
      </c>
      <c r="R5" s="14" t="n">
        <v>0.964</v>
      </c>
      <c r="S5" s="14" t="n">
        <v>0.001</v>
      </c>
      <c r="T5" s="14" t="n">
        <v>0.3881</v>
      </c>
      <c r="U5" s="12" t="s">
        <v>34</v>
      </c>
      <c r="V5" s="22" t="s">
        <v>39</v>
      </c>
      <c r="W5" s="12" t="s">
        <v>40</v>
      </c>
      <c r="X5" s="13"/>
      <c r="Y5" s="12" t="s">
        <v>41</v>
      </c>
      <c r="Z5" s="19"/>
      <c r="AA5" s="21" t="s">
        <v>42</v>
      </c>
    </row>
    <row r="6" customFormat="false" ht="18" hidden="false" customHeight="true" outlineLevel="0" collapsed="false">
      <c r="A6" s="12" t="s">
        <v>32</v>
      </c>
      <c r="B6" s="17" t="n">
        <v>42000</v>
      </c>
      <c r="C6" s="13" t="n">
        <v>48000</v>
      </c>
      <c r="D6" s="12" t="s">
        <v>36</v>
      </c>
      <c r="E6" s="13" t="str">
        <f aca="false" t="array" ref="E6:E6">IF(F6&gt;100,"T1",IF(F6&gt;50,"T2",IF(F6&gt;10,"T3",IF(F6&gt;1,"T4",IF(F6=0,"TBD","T5")))))</f>
        <v>T3</v>
      </c>
      <c r="F6" s="13" t="n">
        <v>32.8</v>
      </c>
      <c r="G6" s="14" t="n">
        <v>0.453</v>
      </c>
      <c r="H6" s="15" t="n">
        <v>0.024</v>
      </c>
      <c r="I6" s="14" t="n">
        <v>0.9488</v>
      </c>
      <c r="J6" s="14" t="n">
        <f aca="false" t="array" ref="J6:J6">O6/N6</f>
        <v>0.139630928387525</v>
      </c>
      <c r="K6" s="16" t="n">
        <f aca="false" t="array" ref="K6:K6">C6/O6</f>
        <v>2.00241959033833</v>
      </c>
      <c r="L6" s="16" t="n">
        <f aca="false" t="array" ref="L6:L6">C6/P6</f>
        <v>9.68523002421308</v>
      </c>
      <c r="M6" s="17" t="n">
        <f aca="false" t="array" ref="M6:M6">C6/Q6</f>
        <v>79.8668885191348</v>
      </c>
      <c r="N6" s="17" t="n">
        <v>171674</v>
      </c>
      <c r="O6" s="17" t="n">
        <v>23971</v>
      </c>
      <c r="P6" s="17" t="n">
        <v>4956</v>
      </c>
      <c r="Q6" s="13" t="n">
        <v>601</v>
      </c>
      <c r="R6" s="14" t="n">
        <v>0.613</v>
      </c>
      <c r="S6" s="14" t="n">
        <v>0.079</v>
      </c>
      <c r="T6" s="12" t="s">
        <v>34</v>
      </c>
      <c r="U6" s="14" t="n">
        <v>0.425</v>
      </c>
      <c r="V6" s="18"/>
      <c r="W6" s="13"/>
      <c r="X6" s="13"/>
      <c r="Y6" s="13"/>
      <c r="Z6" s="19"/>
      <c r="AA6" s="21" t="s">
        <v>43</v>
      </c>
    </row>
    <row r="7" customFormat="false" ht="18" hidden="false" customHeight="true" outlineLevel="0" collapsed="false">
      <c r="A7" s="12" t="s">
        <v>32</v>
      </c>
      <c r="B7" s="13" t="n">
        <v>18000</v>
      </c>
      <c r="C7" s="13" t="n">
        <v>21000</v>
      </c>
      <c r="D7" s="12" t="s">
        <v>33</v>
      </c>
      <c r="E7" s="13" t="str">
        <f aca="false" t="array" ref="E7:E7">IF(F7&gt;100,"T1",IF(F7&gt;50,"T2",IF(F7&gt;10,"T3",IF(F7&gt;1,"T4",IF(F7=0,"TBD","T5")))))</f>
        <v>T3</v>
      </c>
      <c r="F7" s="13" t="n">
        <v>15.7</v>
      </c>
      <c r="G7" s="14" t="n">
        <v>0.374</v>
      </c>
      <c r="H7" s="15" t="n">
        <v>0.043</v>
      </c>
      <c r="I7" s="14" t="n">
        <v>0.9606</v>
      </c>
      <c r="J7" s="14" t="n">
        <f aca="false" t="array" ref="J7:J7">O7/N7</f>
        <v>0.205151998812219</v>
      </c>
      <c r="K7" s="16" t="n">
        <f aca="false" t="array" ref="K7:K7">C7/O7</f>
        <v>3.79952958205175</v>
      </c>
      <c r="L7" s="16" t="n">
        <f aca="false" t="array" ref="L7:L7">C7/P7</f>
        <v>8.78293601003764</v>
      </c>
      <c r="M7" s="17" t="n">
        <f aca="false" t="array" ref="M7:M7">C7/Q7</f>
        <v>1000</v>
      </c>
      <c r="N7" s="17" t="n">
        <v>26941</v>
      </c>
      <c r="O7" s="17" t="n">
        <v>5527</v>
      </c>
      <c r="P7" s="17" t="n">
        <v>2391</v>
      </c>
      <c r="Q7" s="13" t="n">
        <v>21</v>
      </c>
      <c r="R7" s="14" t="n">
        <v>0.792</v>
      </c>
      <c r="S7" s="14" t="n">
        <v>0.03</v>
      </c>
      <c r="T7" s="12" t="s">
        <v>34</v>
      </c>
      <c r="U7" s="14" t="n">
        <v>0.113</v>
      </c>
      <c r="V7" s="18"/>
      <c r="W7" s="13"/>
      <c r="X7" s="13"/>
      <c r="Y7" s="13"/>
      <c r="Z7" s="19"/>
      <c r="AA7" s="21" t="s">
        <v>44</v>
      </c>
    </row>
    <row r="8" customFormat="false" ht="18" hidden="false" customHeight="true" outlineLevel="0" collapsed="false">
      <c r="A8" s="12" t="s">
        <v>32</v>
      </c>
      <c r="B8" s="17" t="n">
        <v>20000</v>
      </c>
      <c r="C8" s="13" t="n">
        <v>42000</v>
      </c>
      <c r="D8" s="12" t="s">
        <v>36</v>
      </c>
      <c r="E8" s="13" t="str">
        <f aca="false" t="array" ref="E8:E8">IF(F8&gt;100,"T1",IF(F8&gt;50,"T2",IF(F8&gt;10,"T3",IF(F8&gt;1,"T4",IF(F8=0,"TBD","T5")))))</f>
        <v>T2</v>
      </c>
      <c r="F8" s="13" t="n">
        <v>54.3</v>
      </c>
      <c r="G8" s="14" t="n">
        <v>0.37</v>
      </c>
      <c r="H8" s="15" t="n">
        <v>0.037</v>
      </c>
      <c r="I8" s="14" t="n">
        <v>0.963</v>
      </c>
      <c r="J8" s="14" t="n">
        <f aca="false" t="array" ref="J8:J8">O8/N8</f>
        <v>0.244340148531765</v>
      </c>
      <c r="K8" s="16" t="n">
        <f aca="false" t="array" ref="K8:K8">C8/O8</f>
        <v>3.09096261407124</v>
      </c>
      <c r="L8" s="16" t="n">
        <f aca="false" t="array" ref="L8:L8">C8/P8</f>
        <v>5.90302178496135</v>
      </c>
      <c r="M8" s="17" t="n">
        <f aca="false" t="array" ref="M8:M8">C8/Q8</f>
        <v>221.052631578947</v>
      </c>
      <c r="N8" s="17" t="n">
        <v>55611</v>
      </c>
      <c r="O8" s="13" t="n">
        <v>13588</v>
      </c>
      <c r="P8" s="17" t="n">
        <v>7115</v>
      </c>
      <c r="Q8" s="13" t="n">
        <v>190</v>
      </c>
      <c r="R8" s="14" t="n">
        <v>0.744</v>
      </c>
      <c r="S8" s="14" t="n">
        <v>0.013</v>
      </c>
      <c r="T8" s="12" t="s">
        <v>34</v>
      </c>
      <c r="U8" s="14" t="n">
        <v>0.2297</v>
      </c>
      <c r="V8" s="18"/>
      <c r="W8" s="13"/>
      <c r="X8" s="13"/>
      <c r="Y8" s="13"/>
      <c r="Z8" s="19"/>
      <c r="AA8" s="21" t="s">
        <v>45</v>
      </c>
    </row>
    <row r="9" customFormat="false" ht="18" hidden="false" customHeight="true" outlineLevel="0" collapsed="false">
      <c r="A9" s="12" t="s">
        <v>32</v>
      </c>
      <c r="B9" s="13" t="n">
        <v>27000</v>
      </c>
      <c r="C9" s="13" t="n">
        <v>35000</v>
      </c>
      <c r="D9" s="12" t="s">
        <v>36</v>
      </c>
      <c r="E9" s="13" t="str">
        <f aca="false" t="array" ref="E9:E9">IF(F9&gt;100,"T1",IF(F9&gt;50,"T2",IF(F9&gt;10,"T3",IF(F9&gt;1,"T4",IF(F9=0,"TBD","T5")))))</f>
        <v>T2</v>
      </c>
      <c r="F9" s="13" t="n">
        <v>51.2</v>
      </c>
      <c r="G9" s="14" t="n">
        <v>0.374</v>
      </c>
      <c r="H9" s="15" t="n">
        <v>0.054</v>
      </c>
      <c r="I9" s="14" t="n">
        <v>0.9451</v>
      </c>
      <c r="J9" s="14" t="n">
        <f aca="false" t="array" ref="J9:J9">O9/N9</f>
        <v>0.664319031291508</v>
      </c>
      <c r="K9" s="16" t="n">
        <f aca="false" t="array" ref="K9:K9">C9/O9</f>
        <v>1.62745280386869</v>
      </c>
      <c r="L9" s="16" t="n">
        <f aca="false" t="array" ref="L9:L9">C9/P9</f>
        <v>27.1107668474051</v>
      </c>
      <c r="M9" s="17" t="n">
        <f aca="false" t="array" ref="M9:M9">C9/Q9</f>
        <v>0.973980798664255</v>
      </c>
      <c r="N9" s="17" t="n">
        <v>32373</v>
      </c>
      <c r="O9" s="13" t="n">
        <v>21506</v>
      </c>
      <c r="P9" s="17" t="n">
        <v>1291</v>
      </c>
      <c r="Q9" s="13" t="n">
        <v>35935</v>
      </c>
      <c r="R9" s="14" t="n">
        <v>0.345</v>
      </c>
      <c r="S9" s="14" t="n">
        <v>0.011</v>
      </c>
      <c r="T9" s="12" t="s">
        <v>34</v>
      </c>
      <c r="U9" s="12" t="s">
        <v>34</v>
      </c>
      <c r="V9" s="18"/>
      <c r="W9" s="13"/>
      <c r="X9" s="13"/>
      <c r="Y9" s="13"/>
      <c r="Z9" s="19"/>
      <c r="AA9" s="21" t="s">
        <v>46</v>
      </c>
    </row>
    <row r="10" customFormat="false" ht="18" hidden="false" customHeight="true" outlineLevel="0" collapsed="false">
      <c r="A10" s="12" t="s">
        <v>32</v>
      </c>
      <c r="B10" s="13" t="n">
        <v>20000</v>
      </c>
      <c r="C10" s="13" t="n">
        <v>26000</v>
      </c>
      <c r="D10" s="12" t="s">
        <v>36</v>
      </c>
      <c r="E10" s="13" t="str">
        <f aca="false" t="array" ref="E10:E10">IF(F10&gt;100,"T1",IF(F10&gt;50,"T2",IF(F10&gt;10,"T3",IF(F10&gt;1,"T4",IF(F10=0,"TBD","T5")))))</f>
        <v>T4</v>
      </c>
      <c r="F10" s="13" t="n">
        <v>9</v>
      </c>
      <c r="G10" s="14" t="n">
        <v>0.448</v>
      </c>
      <c r="H10" s="15" t="n">
        <v>0.053</v>
      </c>
      <c r="I10" s="14" t="n">
        <v>0.952</v>
      </c>
      <c r="J10" s="14" t="n">
        <f aca="false" t="array" ref="J10:J10">O10/N10</f>
        <v>0.701742497579864</v>
      </c>
      <c r="K10" s="16" t="n">
        <f aca="false" t="array" ref="K10:K10">C10/O10</f>
        <v>3.58670161401573</v>
      </c>
      <c r="L10" s="16" t="n">
        <f aca="false" t="array" ref="L10:L10">C10/P10</f>
        <v>1.62094763092269</v>
      </c>
      <c r="M10" s="17" t="n">
        <f aca="false" t="array" ref="M10:M10">C10/Q10</f>
        <v>2.37442922374429</v>
      </c>
      <c r="N10" s="17" t="n">
        <v>10330</v>
      </c>
      <c r="O10" s="13" t="n">
        <v>7249</v>
      </c>
      <c r="P10" s="17" t="n">
        <v>16040</v>
      </c>
      <c r="Q10" s="17" t="n">
        <v>10950</v>
      </c>
      <c r="R10" s="14" t="n">
        <v>0.896</v>
      </c>
      <c r="S10" s="14" t="n">
        <v>0.007</v>
      </c>
      <c r="T10" s="12" t="s">
        <v>34</v>
      </c>
      <c r="U10" s="14" t="n">
        <v>0.1296</v>
      </c>
      <c r="V10" s="18"/>
      <c r="W10" s="13"/>
      <c r="X10" s="13"/>
      <c r="Y10" s="12" t="s">
        <v>47</v>
      </c>
      <c r="Z10" s="19"/>
      <c r="AA10" s="21" t="s">
        <v>48</v>
      </c>
    </row>
    <row r="11" customFormat="false" ht="18" hidden="false" customHeight="true" outlineLevel="0" collapsed="false">
      <c r="A11" s="12" t="s">
        <v>32</v>
      </c>
      <c r="B11" s="13" t="n">
        <v>39200</v>
      </c>
      <c r="C11" s="13" t="n">
        <v>49000</v>
      </c>
      <c r="D11" s="12" t="s">
        <v>36</v>
      </c>
      <c r="E11" s="13" t="str">
        <f aca="false" t="array" ref="E11:E11">IF(F11&gt;100,"T1",IF(F11&gt;50,"T2",IF(F11&gt;10,"T3",IF(F11&gt;1,"T4",IF(F11=0,"TBD","T5")))))</f>
        <v>T3</v>
      </c>
      <c r="F11" s="13" t="n">
        <v>46.5</v>
      </c>
      <c r="G11" s="14" t="n">
        <v>0.421</v>
      </c>
      <c r="H11" s="15" t="n">
        <v>0.036</v>
      </c>
      <c r="I11" s="14" t="n">
        <v>0.9032</v>
      </c>
      <c r="J11" s="14" t="n">
        <f aca="false" t="array" ref="J11:J11">O11/N11</f>
        <v>0.177097054245001</v>
      </c>
      <c r="K11" s="16" t="n">
        <f aca="false" t="array" ref="K11:K11">C11/O11</f>
        <v>2.07074335460423</v>
      </c>
      <c r="L11" s="16" t="n">
        <f aca="false" t="array" ref="L11:L11">C11/P11</f>
        <v>26.3157894736842</v>
      </c>
      <c r="M11" s="17" t="e">
        <f aca="false" t="array" ref="M11:M11">C11/Q11</f>
        <v>#VALUE!</v>
      </c>
      <c r="N11" s="17" t="n">
        <v>133616</v>
      </c>
      <c r="O11" s="13" t="n">
        <v>23663</v>
      </c>
      <c r="P11" s="17" t="n">
        <v>1862</v>
      </c>
      <c r="Q11" s="12" t="s">
        <v>34</v>
      </c>
      <c r="R11" s="14" t="n">
        <v>0.659</v>
      </c>
      <c r="S11" s="14" t="n">
        <v>0.017</v>
      </c>
      <c r="T11" s="12" t="s">
        <v>34</v>
      </c>
      <c r="U11" s="12" t="s">
        <v>34</v>
      </c>
      <c r="V11" s="18"/>
      <c r="W11" s="13"/>
      <c r="X11" s="13"/>
      <c r="Y11" s="12" t="s">
        <v>47</v>
      </c>
      <c r="Z11" s="19"/>
      <c r="AA11" s="21" t="s">
        <v>49</v>
      </c>
    </row>
    <row r="12" customFormat="false" ht="18" hidden="false" customHeight="true" outlineLevel="0" collapsed="false">
      <c r="A12" s="12" t="s">
        <v>32</v>
      </c>
      <c r="B12" s="13" t="n">
        <v>16000</v>
      </c>
      <c r="C12" s="13" t="n">
        <v>20000</v>
      </c>
      <c r="D12" s="12" t="s">
        <v>36</v>
      </c>
      <c r="E12" s="13" t="str">
        <f aca="false" t="array" ref="E12:E12">IF(F12&gt;100,"T1",IF(F12&gt;50,"T2",IF(F12&gt;10,"T3",IF(F12&gt;1,"T4",IF(F12=0,"TBD","T5")))))</f>
        <v>T3</v>
      </c>
      <c r="F12" s="13" t="n">
        <v>13.1</v>
      </c>
      <c r="G12" s="14" t="n">
        <v>0.682</v>
      </c>
      <c r="H12" s="15" t="n">
        <v>0.019</v>
      </c>
      <c r="I12" s="14" t="n">
        <v>0.9165</v>
      </c>
      <c r="J12" s="14" t="n">
        <f aca="false" t="array" ref="J12:J12">O12/N12</f>
        <v>0.136818574404308</v>
      </c>
      <c r="K12" s="16" t="n">
        <f aca="false" t="array" ref="K12:K12">C12/O12</f>
        <v>2.47555390518629</v>
      </c>
      <c r="L12" s="16" t="n">
        <f aca="false" t="array" ref="L12:L12">C12/P12</f>
        <v>11.6414435389988</v>
      </c>
      <c r="M12" s="17" t="n">
        <f aca="false" t="array" ref="M12:M12">C12/Q12</f>
        <v>3333.33333333333</v>
      </c>
      <c r="N12" s="17" t="n">
        <v>59049</v>
      </c>
      <c r="O12" s="13" t="n">
        <v>8079</v>
      </c>
      <c r="P12" s="17" t="n">
        <v>1718</v>
      </c>
      <c r="Q12" s="13" t="n">
        <v>6</v>
      </c>
      <c r="R12" s="14" t="n">
        <v>0.375</v>
      </c>
      <c r="S12" s="14" t="n">
        <v>0.41</v>
      </c>
      <c r="T12" s="12" t="s">
        <v>34</v>
      </c>
      <c r="U12" s="14" t="n">
        <v>0.2342</v>
      </c>
      <c r="V12" s="18"/>
      <c r="W12" s="13"/>
      <c r="X12" s="13"/>
      <c r="Y12" s="12" t="s">
        <v>50</v>
      </c>
      <c r="Z12" s="19"/>
      <c r="AA12" s="21" t="s">
        <v>51</v>
      </c>
    </row>
    <row r="13" customFormat="false" ht="18" hidden="false" customHeight="true" outlineLevel="0" collapsed="false">
      <c r="A13" s="12" t="s">
        <v>32</v>
      </c>
      <c r="B13" s="12" t="s">
        <v>38</v>
      </c>
      <c r="C13" s="13" t="n">
        <v>10000</v>
      </c>
      <c r="D13" s="12" t="s">
        <v>36</v>
      </c>
      <c r="E13" s="13" t="str">
        <f aca="false" t="array" ref="E13:E13">IF(F13&gt;100,"T1",IF(F13&gt;50,"T2",IF(F13&gt;10,"T3",IF(F13&gt;1,"T4",IF(F13=0,"TBD","T5")))))</f>
        <v>T4</v>
      </c>
      <c r="F13" s="13" t="n">
        <v>3.6</v>
      </c>
      <c r="G13" s="14" t="n">
        <v>0.458</v>
      </c>
      <c r="H13" s="15" t="n">
        <v>0.039</v>
      </c>
      <c r="I13" s="14" t="n">
        <v>0.9447</v>
      </c>
      <c r="J13" s="14" t="n">
        <f aca="false" t="array" ref="J13:J13">O13/N13</f>
        <v>0.186101469610812</v>
      </c>
      <c r="K13" s="16" t="n">
        <f aca="false" t="array" ref="K13:K13">C13/O13</f>
        <v>1.98412698412698</v>
      </c>
      <c r="L13" s="16" t="n">
        <f aca="false" t="array" ref="L13:L13">C13/P13</f>
        <v>10.2040816326531</v>
      </c>
      <c r="M13" s="17" t="e">
        <f aca="false" t="array" ref="M13:M13">C13/Q13</f>
        <v>#VALUE!</v>
      </c>
      <c r="N13" s="17" t="n">
        <v>27082</v>
      </c>
      <c r="O13" s="13" t="n">
        <v>5040</v>
      </c>
      <c r="P13" s="17" t="n">
        <v>980</v>
      </c>
      <c r="Q13" s="12" t="s">
        <v>34</v>
      </c>
      <c r="R13" s="14" t="n">
        <v>0.439</v>
      </c>
      <c r="S13" s="14" t="n">
        <v>0.06</v>
      </c>
      <c r="T13" s="12" t="s">
        <v>34</v>
      </c>
      <c r="U13" s="12" t="s">
        <v>34</v>
      </c>
      <c r="V13" s="18"/>
      <c r="W13" s="13"/>
      <c r="X13" s="13"/>
      <c r="Y13" s="13"/>
      <c r="Z13" s="19"/>
      <c r="AA13" s="21" t="s">
        <v>52</v>
      </c>
    </row>
    <row r="14" customFormat="false" ht="18" hidden="false" customHeight="true" outlineLevel="0" collapsed="false">
      <c r="A14" s="12" t="s">
        <v>32</v>
      </c>
      <c r="B14" s="13" t="n">
        <v>15000</v>
      </c>
      <c r="C14" s="13" t="n">
        <v>20000</v>
      </c>
      <c r="D14" s="12" t="s">
        <v>36</v>
      </c>
      <c r="E14" s="13" t="str">
        <f aca="false" t="array" ref="E14:E14">IF(F14&gt;100,"T1",IF(F14&gt;50,"T2",IF(F14&gt;10,"T3",IF(F14&gt;1,"T4",IF(F14=0,"TBD","T5")))))</f>
        <v>T4</v>
      </c>
      <c r="F14" s="13" t="n">
        <v>2.4</v>
      </c>
      <c r="G14" s="14" t="n">
        <v>0.343</v>
      </c>
      <c r="H14" s="15" t="n">
        <v>0.039</v>
      </c>
      <c r="I14" s="14" t="n">
        <v>0.8018</v>
      </c>
      <c r="J14" s="14" t="n">
        <f aca="false" t="array" ref="J14:J14">O14/N14</f>
        <v>0.157308790615112</v>
      </c>
      <c r="K14" s="16" t="n">
        <f aca="false" t="array" ref="K14:K14">C14/O14</f>
        <v>2.45308475407825</v>
      </c>
      <c r="L14" s="16" t="n">
        <f aca="false" t="array" ref="L14:L14">C14/P14</f>
        <v>5.70776255707763</v>
      </c>
      <c r="M14" s="17" t="n">
        <f aca="false" t="array" ref="M14:M14">C14/Q14</f>
        <v>97.5609756097561</v>
      </c>
      <c r="N14" s="17" t="n">
        <v>51828</v>
      </c>
      <c r="O14" s="17" t="n">
        <v>8153</v>
      </c>
      <c r="P14" s="17" t="n">
        <v>3504</v>
      </c>
      <c r="Q14" s="13" t="n">
        <v>205</v>
      </c>
      <c r="R14" s="14" t="n">
        <v>0.347</v>
      </c>
      <c r="S14" s="14" t="n">
        <v>0.034</v>
      </c>
      <c r="T14" s="12" t="s">
        <v>34</v>
      </c>
      <c r="U14" s="14" t="n">
        <v>0.0148</v>
      </c>
      <c r="V14" s="18"/>
      <c r="W14" s="13"/>
      <c r="X14" s="13"/>
      <c r="Y14" s="13"/>
      <c r="Z14" s="19"/>
      <c r="AA14" s="21" t="s">
        <v>53</v>
      </c>
    </row>
    <row r="15" customFormat="false" ht="18" hidden="false" customHeight="true" outlineLevel="0" collapsed="false">
      <c r="A15" s="12" t="s">
        <v>32</v>
      </c>
      <c r="B15" s="13" t="n">
        <v>10000</v>
      </c>
      <c r="C15" s="13" t="n">
        <v>13000</v>
      </c>
      <c r="D15" s="12" t="s">
        <v>36</v>
      </c>
      <c r="E15" s="13" t="str">
        <f aca="false" t="array" ref="E15:E15">IF(F15&gt;100,"T1",IF(F15&gt;50,"T2",IF(F15&gt;10,"T3",IF(F15&gt;1,"T4",IF(F15=0,"TBD","T5")))))</f>
        <v>T4</v>
      </c>
      <c r="F15" s="13" t="n">
        <v>5.9</v>
      </c>
      <c r="G15" s="14" t="n">
        <v>0.516</v>
      </c>
      <c r="H15" s="15" t="n">
        <v>0.042</v>
      </c>
      <c r="I15" s="14" t="n">
        <v>0.942</v>
      </c>
      <c r="J15" s="14" t="n">
        <f aca="false" t="array" ref="J15:J15">O15/N15</f>
        <v>0.151205565738183</v>
      </c>
      <c r="K15" s="16" t="n">
        <f aca="false" t="array" ref="K15:K15">C15/O15</f>
        <v>0.277433949378975</v>
      </c>
      <c r="L15" s="16" t="n">
        <f aca="false" t="array" ref="L15:L15">C15/P15</f>
        <v>0.709529527344176</v>
      </c>
      <c r="M15" s="17" t="n">
        <f aca="false" t="array" ref="M15:M15">C15/Q15</f>
        <v>351.351351351351</v>
      </c>
      <c r="N15" s="17" t="n">
        <v>309896</v>
      </c>
      <c r="O15" s="17" t="n">
        <v>46858</v>
      </c>
      <c r="P15" s="17" t="n">
        <v>18322</v>
      </c>
      <c r="Q15" s="13" t="n">
        <v>37</v>
      </c>
      <c r="R15" s="14" t="n">
        <v>0.905</v>
      </c>
      <c r="S15" s="14" t="n">
        <v>0.012</v>
      </c>
      <c r="T15" s="12" t="s">
        <v>34</v>
      </c>
      <c r="U15" s="14" t="n">
        <v>0.3385</v>
      </c>
      <c r="V15" s="18"/>
      <c r="W15" s="13"/>
      <c r="X15" s="13"/>
      <c r="Y15" s="13"/>
      <c r="Z15" s="19"/>
      <c r="AA15" s="21" t="s">
        <v>54</v>
      </c>
    </row>
    <row r="16" customFormat="false" ht="18" hidden="false" customHeight="true" outlineLevel="0" collapsed="false">
      <c r="A16" s="12" t="s">
        <v>32</v>
      </c>
      <c r="B16" s="13" t="n">
        <v>6400</v>
      </c>
      <c r="C16" s="13" t="n">
        <v>8000</v>
      </c>
      <c r="D16" s="12" t="s">
        <v>33</v>
      </c>
      <c r="E16" s="13" t="str">
        <f aca="false" t="array" ref="E16:E16">IF(F16&gt;100,"T1",IF(F16&gt;50,"T2",IF(F16&gt;10,"T3",IF(F16&gt;1,"T4",IF(F16=0,"TBD","T5")))))</f>
        <v>T4</v>
      </c>
      <c r="F16" s="13" t="n">
        <v>3.4</v>
      </c>
      <c r="G16" s="14" t="n">
        <v>0.496</v>
      </c>
      <c r="H16" s="15" t="n">
        <v>0.04</v>
      </c>
      <c r="I16" s="14" t="n">
        <v>0.903</v>
      </c>
      <c r="J16" s="14" t="n">
        <f aca="false" t="array" ref="J16:J16">O16/N16</f>
        <v>0.098553627268519</v>
      </c>
      <c r="K16" s="16" t="n">
        <f aca="false" t="array" ref="K16:K16">C16/O16</f>
        <v>0.766871165644172</v>
      </c>
      <c r="L16" s="16" t="n">
        <f aca="false" t="array" ref="L16:L16">C16/P16</f>
        <v>4.02010050251256</v>
      </c>
      <c r="M16" s="17" t="n">
        <f aca="false" t="array" ref="M16:M16">C16/Q16</f>
        <v>4.70311581422693</v>
      </c>
      <c r="N16" s="17" t="n">
        <v>105851</v>
      </c>
      <c r="O16" s="17" t="n">
        <v>10432</v>
      </c>
      <c r="P16" s="17" t="n">
        <v>1990</v>
      </c>
      <c r="Q16" s="17" t="n">
        <v>1701</v>
      </c>
      <c r="R16" s="14" t="n">
        <v>0.77</v>
      </c>
      <c r="S16" s="14" t="n">
        <v>0.123</v>
      </c>
      <c r="T16" s="12" t="s">
        <v>34</v>
      </c>
      <c r="U16" s="14" t="n">
        <v>0.1754</v>
      </c>
      <c r="V16" s="22" t="s">
        <v>55</v>
      </c>
      <c r="W16" s="12" t="s">
        <v>56</v>
      </c>
      <c r="X16" s="12" t="s">
        <v>57</v>
      </c>
      <c r="Y16" s="12" t="s">
        <v>58</v>
      </c>
      <c r="Z16" s="23" t="s">
        <v>59</v>
      </c>
      <c r="AA16" s="21" t="s">
        <v>60</v>
      </c>
    </row>
    <row r="17" customFormat="false" ht="18" hidden="false" customHeight="true" outlineLevel="0" collapsed="false">
      <c r="A17" s="12" t="s">
        <v>32</v>
      </c>
      <c r="B17" s="13" t="n">
        <v>36000</v>
      </c>
      <c r="C17" s="13" t="n">
        <v>52000</v>
      </c>
      <c r="D17" s="12" t="s">
        <v>61</v>
      </c>
      <c r="E17" s="13" t="str">
        <f aca="false" t="array" ref="E17:E17">IF(F17&gt;100,"T1",IF(F17&gt;50,"T2",IF(F17&gt;10,"T3",IF(F17&gt;1,"T4",IF(F17=0,"TBD","T5")))))</f>
        <v>T1</v>
      </c>
      <c r="F17" s="13" t="n">
        <v>137</v>
      </c>
      <c r="G17" s="14" t="n">
        <v>0.325</v>
      </c>
      <c r="H17" s="15" t="n">
        <v>0.05</v>
      </c>
      <c r="I17" s="14" t="n">
        <v>0.9172</v>
      </c>
      <c r="J17" s="14" t="n">
        <f aca="false" t="array" ref="J17:J17">O17/N17</f>
        <v>0.152969440549693</v>
      </c>
      <c r="K17" s="16" t="n">
        <f aca="false" t="array" ref="K17:K17">C17/O17</f>
        <v>1.39365351629503</v>
      </c>
      <c r="L17" s="16" t="n">
        <f aca="false" t="array" ref="L17:L17">C17/P17</f>
        <v>5.41553842949386</v>
      </c>
      <c r="M17" s="17" t="e">
        <f aca="false" t="array" ref="M17:M17">C17/Q17</f>
        <v>#VALUE!</v>
      </c>
      <c r="N17" s="17" t="n">
        <v>243918</v>
      </c>
      <c r="O17" s="17" t="n">
        <v>37312</v>
      </c>
      <c r="P17" s="17" t="n">
        <v>9602</v>
      </c>
      <c r="Q17" s="12" t="s">
        <v>34</v>
      </c>
      <c r="R17" s="14" t="n">
        <v>0.751</v>
      </c>
      <c r="S17" s="14" t="n">
        <v>0.001</v>
      </c>
      <c r="T17" s="12" t="s">
        <v>34</v>
      </c>
      <c r="U17" s="12" t="s">
        <v>34</v>
      </c>
      <c r="V17" s="18"/>
      <c r="W17" s="13"/>
      <c r="X17" s="13"/>
      <c r="Y17" s="13"/>
      <c r="Z17" s="19"/>
      <c r="AA17" s="21" t="s">
        <v>62</v>
      </c>
    </row>
    <row r="18" customFormat="false" ht="18" hidden="false" customHeight="true" outlineLevel="0" collapsed="false">
      <c r="A18" s="12" t="s">
        <v>32</v>
      </c>
      <c r="B18" s="13" t="n">
        <v>9500</v>
      </c>
      <c r="C18" s="13" t="n">
        <v>24900</v>
      </c>
      <c r="D18" s="12" t="s">
        <v>33</v>
      </c>
      <c r="E18" s="13" t="str">
        <f aca="false" t="array" ref="E18:E18">IF(F18&gt;100,"T1",IF(F18&gt;50,"T2",IF(F18&gt;10,"T3",IF(F18&gt;1,"T4",IF(F18=0,"TBD","T5")))))</f>
        <v>T3</v>
      </c>
      <c r="F18" s="13" t="n">
        <v>13.2</v>
      </c>
      <c r="G18" s="14" t="n">
        <v>0.334</v>
      </c>
      <c r="H18" s="15" t="n">
        <v>0.056</v>
      </c>
      <c r="I18" s="14" t="n">
        <v>0.9242</v>
      </c>
      <c r="J18" s="14" t="n">
        <f aca="false" t="array" ref="J18:J18">O18/N18</f>
        <v>0.192332623391055</v>
      </c>
      <c r="K18" s="16" t="n">
        <f aca="false" t="array" ref="K18:K18">C18/O18</f>
        <v>5.99422243620607</v>
      </c>
      <c r="L18" s="16" t="n">
        <f aca="false" t="array" ref="L18:L18">C18/P18</f>
        <v>73.0205278592375</v>
      </c>
      <c r="M18" s="17" t="n">
        <f aca="false" t="array" ref="M18:M18">C18/Q18</f>
        <v>26.7741935483871</v>
      </c>
      <c r="N18" s="17" t="n">
        <v>21598</v>
      </c>
      <c r="O18" s="17" t="n">
        <v>4154</v>
      </c>
      <c r="P18" s="17" t="n">
        <v>341</v>
      </c>
      <c r="Q18" s="13" t="n">
        <v>930</v>
      </c>
      <c r="R18" s="14" t="n">
        <v>0.559</v>
      </c>
      <c r="S18" s="14" t="n">
        <v>0.002</v>
      </c>
      <c r="T18" s="12" t="s">
        <v>34</v>
      </c>
      <c r="U18" s="14" t="n">
        <v>0.2264</v>
      </c>
      <c r="V18" s="18"/>
      <c r="W18" s="13"/>
      <c r="X18" s="13"/>
      <c r="Y18" s="13"/>
      <c r="Z18" s="19"/>
      <c r="AA18" s="21" t="s">
        <v>63</v>
      </c>
    </row>
    <row r="19" customFormat="false" ht="18" hidden="false" customHeight="true" outlineLevel="0" collapsed="false">
      <c r="A19" s="12" t="s">
        <v>32</v>
      </c>
      <c r="B19" s="13" t="n">
        <v>10000</v>
      </c>
      <c r="C19" s="13" t="n">
        <v>10000</v>
      </c>
      <c r="D19" s="12" t="s">
        <v>36</v>
      </c>
      <c r="E19" s="13" t="str">
        <f aca="false" t="array" ref="E19:E19">IF(F19&gt;100,"T1",IF(F19&gt;50,"T2",IF(F19&gt;10,"T3",IF(F19&gt;1,"T4",IF(F19=0,"TBD","T5")))))</f>
        <v>T3</v>
      </c>
      <c r="F19" s="13" t="n">
        <v>14.9</v>
      </c>
      <c r="G19" s="14" t="n">
        <v>0.578</v>
      </c>
      <c r="H19" s="15" t="n">
        <v>0.035</v>
      </c>
      <c r="I19" s="14" t="n">
        <v>0.8985</v>
      </c>
      <c r="J19" s="14" t="n">
        <f aca="false" t="array" ref="J19:J19">O19/N19</f>
        <v>0.268604126502318</v>
      </c>
      <c r="K19" s="16" t="n">
        <f aca="false" t="array" ref="K19:K19">C19/O19</f>
        <v>0.152711390742635</v>
      </c>
      <c r="L19" s="16" t="n">
        <f aca="false" t="array" ref="L19:L19">C19/P19</f>
        <v>1.18567702157932</v>
      </c>
      <c r="M19" s="17" t="e">
        <f aca="false" t="array" ref="M19:M19">C19/Q19</f>
        <v>#VALUE!</v>
      </c>
      <c r="N19" s="17" t="n">
        <v>243790</v>
      </c>
      <c r="O19" s="17" t="n">
        <v>65483</v>
      </c>
      <c r="P19" s="17" t="n">
        <v>8434</v>
      </c>
      <c r="Q19" s="12" t="s">
        <v>34</v>
      </c>
      <c r="R19" s="14" t="n">
        <v>0.536</v>
      </c>
      <c r="S19" s="14" t="n">
        <v>0.047</v>
      </c>
      <c r="T19" s="12" t="s">
        <v>34</v>
      </c>
      <c r="U19" s="12" t="s">
        <v>34</v>
      </c>
      <c r="V19" s="18"/>
      <c r="W19" s="13"/>
      <c r="X19" s="13"/>
      <c r="Y19" s="13"/>
      <c r="Z19" s="19"/>
      <c r="AA19" s="21" t="s">
        <v>64</v>
      </c>
    </row>
    <row r="20" customFormat="false" ht="18" hidden="false" customHeight="true" outlineLevel="0" collapsed="false">
      <c r="A20" s="12" t="s">
        <v>32</v>
      </c>
      <c r="B20" s="13" t="n">
        <v>7000</v>
      </c>
      <c r="C20" s="13" t="n">
        <v>8000</v>
      </c>
      <c r="D20" s="12" t="s">
        <v>36</v>
      </c>
      <c r="E20" s="13" t="str">
        <f aca="false" t="array" ref="E20:E20">IF(F20&gt;100,"T1",IF(F20&gt;50,"T2",IF(F20&gt;10,"T3",IF(F20&gt;1,"T4",IF(F20=0,"TBD","T5")))))</f>
        <v>T4</v>
      </c>
      <c r="F20" s="13" t="n">
        <v>2.3</v>
      </c>
      <c r="G20" s="14" t="n">
        <v>0.45</v>
      </c>
      <c r="H20" s="15" t="n">
        <v>0.064</v>
      </c>
      <c r="I20" s="14" t="n">
        <v>0.9547</v>
      </c>
      <c r="J20" s="14" t="n">
        <f aca="false" t="array" ref="J20:J20">O20/N20</f>
        <v>0.227285727905425</v>
      </c>
      <c r="K20" s="16" t="n">
        <f aca="false" t="array" ref="K20:K20">C20/O20</f>
        <v>1.67785234899329</v>
      </c>
      <c r="L20" s="16" t="n">
        <f aca="false" t="array" ref="L20:L20">C20/P20</f>
        <v>16.4609053497942</v>
      </c>
      <c r="M20" s="17" t="e">
        <f aca="false" t="array" ref="M20:M20">C20/Q20</f>
        <v>#VALUE!</v>
      </c>
      <c r="N20" s="17" t="n">
        <v>20978</v>
      </c>
      <c r="O20" s="17" t="n">
        <v>4768</v>
      </c>
      <c r="P20" s="17" t="n">
        <v>486</v>
      </c>
      <c r="Q20" s="12" t="s">
        <v>34</v>
      </c>
      <c r="R20" s="14" t="n">
        <v>0.895</v>
      </c>
      <c r="S20" s="14" t="n">
        <v>0.002</v>
      </c>
      <c r="T20" s="12" t="s">
        <v>34</v>
      </c>
      <c r="U20" s="12" t="s">
        <v>34</v>
      </c>
      <c r="V20" s="18"/>
      <c r="W20" s="13"/>
      <c r="X20" s="13"/>
      <c r="Y20" s="13"/>
      <c r="Z20" s="19"/>
      <c r="AA20" s="21" t="s">
        <v>65</v>
      </c>
    </row>
    <row r="21" customFormat="false" ht="18" hidden="false" customHeight="true" outlineLevel="0" collapsed="false">
      <c r="A21" s="12" t="s">
        <v>32</v>
      </c>
      <c r="B21" s="13" t="n">
        <v>15000</v>
      </c>
      <c r="C21" s="13" t="n">
        <v>31000</v>
      </c>
      <c r="D21" s="12" t="s">
        <v>36</v>
      </c>
      <c r="E21" s="13" t="str">
        <f aca="false" t="array" ref="E21:E21">IF(F21&gt;100,"T1",IF(F21&gt;50,"T2",IF(F21&gt;10,"T3",IF(F21&gt;1,"T4",IF(F21=0,"TBD","T5")))))</f>
        <v>T3</v>
      </c>
      <c r="F21" s="13" t="n">
        <v>20.4</v>
      </c>
      <c r="G21" s="14" t="n">
        <v>0.546</v>
      </c>
      <c r="H21" s="15" t="n">
        <v>0.028</v>
      </c>
      <c r="I21" s="14" t="n">
        <v>0.9754</v>
      </c>
      <c r="J21" s="14" t="n">
        <f aca="false" t="array" ref="J21:J21">O21/N21</f>
        <v>0.375309289469566</v>
      </c>
      <c r="K21" s="16" t="n">
        <f aca="false" t="array" ref="K21:K21">C21/O21</f>
        <v>0.349358757635179</v>
      </c>
      <c r="L21" s="16" t="n">
        <f aca="false" t="array" ref="L21:L21">C21/P21</f>
        <v>6.04642090891359</v>
      </c>
      <c r="M21" s="17" t="e">
        <f aca="false" t="array" ref="M21:M21">C21/Q21</f>
        <v>#VALUE!</v>
      </c>
      <c r="N21" s="17" t="n">
        <v>236429</v>
      </c>
      <c r="O21" s="17" t="n">
        <v>88734</v>
      </c>
      <c r="P21" s="17" t="n">
        <v>5127</v>
      </c>
      <c r="Q21" s="12" t="s">
        <v>34</v>
      </c>
      <c r="R21" s="14" t="n">
        <v>0.718</v>
      </c>
      <c r="S21" s="14" t="n">
        <v>0.012</v>
      </c>
      <c r="T21" s="12" t="s">
        <v>34</v>
      </c>
      <c r="U21" s="12" t="s">
        <v>34</v>
      </c>
      <c r="V21" s="24" t="s">
        <v>66</v>
      </c>
      <c r="W21" s="24" t="s">
        <v>67</v>
      </c>
      <c r="X21" s="24" t="s">
        <v>68</v>
      </c>
      <c r="Y21" s="24" t="s">
        <v>69</v>
      </c>
      <c r="Z21" s="23" t="s">
        <v>70</v>
      </c>
      <c r="AA21" s="21" t="s">
        <v>71</v>
      </c>
    </row>
    <row r="22" customFormat="false" ht="18" hidden="false" customHeight="true" outlineLevel="0" collapsed="false">
      <c r="A22" s="25" t="s">
        <v>32</v>
      </c>
      <c r="B22" s="26" t="n">
        <v>30000</v>
      </c>
      <c r="C22" s="26" t="n">
        <v>35000</v>
      </c>
      <c r="D22" s="25" t="s">
        <v>36</v>
      </c>
      <c r="E22" s="26" t="str">
        <f aca="false" t="array" ref="E22:E22">IF(F22&gt;100,"T1",IF(F22&gt;50,"T2",IF(F22&gt;10,"T3",IF(F22&gt;1,"T4",IF(F22=0,"TBD","T5")))))</f>
        <v>T2</v>
      </c>
      <c r="F22" s="26" t="n">
        <v>78.8</v>
      </c>
      <c r="G22" s="27" t="n">
        <v>0.43</v>
      </c>
      <c r="H22" s="28" t="n">
        <v>0.025</v>
      </c>
      <c r="I22" s="27" t="n">
        <v>0.9738</v>
      </c>
      <c r="J22" s="27" t="n">
        <f aca="false" t="array" ref="J22:J22">O22/N22</f>
        <v>0.137401176960114</v>
      </c>
      <c r="K22" s="29" t="n">
        <f aca="false" t="array" ref="K22:K22">C22/O22</f>
        <v>7.57084144494917</v>
      </c>
      <c r="L22" s="29" t="n">
        <f aca="false" t="array" ref="L22:L22">C22/P22</f>
        <v>30.514385353095</v>
      </c>
      <c r="M22" s="30" t="n">
        <f aca="false" t="array" ref="M22:M22">C22/Q22</f>
        <v>145.228215767635</v>
      </c>
      <c r="N22" s="30" t="n">
        <v>33646</v>
      </c>
      <c r="O22" s="26" t="n">
        <v>4623</v>
      </c>
      <c r="P22" s="30" t="n">
        <v>1147</v>
      </c>
      <c r="Q22" s="26" t="n">
        <v>241</v>
      </c>
      <c r="R22" s="27" t="n">
        <v>0.29</v>
      </c>
      <c r="S22" s="27" t="n">
        <v>0.02</v>
      </c>
      <c r="T22" s="25" t="s">
        <v>34</v>
      </c>
      <c r="U22" s="27" t="n">
        <v>0.3448</v>
      </c>
      <c r="V22" s="31"/>
      <c r="W22" s="26"/>
      <c r="X22" s="26"/>
      <c r="Y22" s="26"/>
      <c r="Z22" s="32"/>
      <c r="AA22" s="21" t="s">
        <v>72</v>
      </c>
    </row>
    <row r="23" customFormat="false" ht="17.4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4"/>
      <c r="W23" s="33"/>
      <c r="X23" s="33"/>
      <c r="Y23" s="33"/>
      <c r="Z23" s="33"/>
      <c r="AA23" s="34"/>
    </row>
    <row r="24" customFormat="false" ht="18" hidden="false" customHeight="true" outlineLevel="0" collapsed="false">
      <c r="A24" s="35" t="s">
        <v>32</v>
      </c>
      <c r="B24" s="36" t="n">
        <v>39000</v>
      </c>
      <c r="C24" s="36" t="n">
        <v>46000</v>
      </c>
      <c r="D24" s="35" t="s">
        <v>33</v>
      </c>
      <c r="E24" s="36" t="str">
        <f aca="false" t="array" ref="E24:E24">IF(F24&gt;100,"T1",IF(F24&gt;50,"T2",IF(F24&gt;10,"T3",IF(F24&gt;1,"T4",IF(F24=0,"TBD","T5")))))</f>
        <v>T3</v>
      </c>
      <c r="F24" s="36" t="n">
        <v>33</v>
      </c>
      <c r="G24" s="37" t="n">
        <v>0.476</v>
      </c>
      <c r="H24" s="38" t="n">
        <v>0.019</v>
      </c>
      <c r="I24" s="37" t="n">
        <v>0.9805</v>
      </c>
      <c r="J24" s="37" t="n">
        <f aca="false" t="array" ref="J24:J24">O24/N24</f>
        <v>0.247325385908605</v>
      </c>
      <c r="K24" s="39" t="n">
        <f aca="false" t="array" ref="K24:K24">C24/O24</f>
        <v>2.36881404809722</v>
      </c>
      <c r="L24" s="39" t="n">
        <f aca="false" t="array" ref="L24:L24">C24/P24</f>
        <v>33.2850940665702</v>
      </c>
      <c r="M24" s="40" t="n">
        <f aca="false" t="array" ref="M24:M24">C24/Q24</f>
        <v>150.819672131148</v>
      </c>
      <c r="N24" s="40" t="n">
        <v>78516</v>
      </c>
      <c r="O24" s="40" t="n">
        <v>19419</v>
      </c>
      <c r="P24" s="40" t="n">
        <v>1382</v>
      </c>
      <c r="Q24" s="36" t="n">
        <v>305</v>
      </c>
      <c r="R24" s="37" t="n">
        <v>0.59</v>
      </c>
      <c r="S24" s="37" t="n">
        <v>0.015</v>
      </c>
      <c r="T24" s="35" t="s">
        <v>34</v>
      </c>
      <c r="U24" s="37" t="n">
        <v>0.2517</v>
      </c>
      <c r="V24" s="41"/>
      <c r="W24" s="36"/>
      <c r="X24" s="36"/>
      <c r="Y24" s="36"/>
      <c r="Z24" s="42"/>
      <c r="AA24" s="43" t="s">
        <v>73</v>
      </c>
    </row>
    <row r="25" customFormat="false" ht="18" hidden="false" customHeight="true" outlineLevel="0" collapsed="false">
      <c r="A25" s="44" t="s">
        <v>32</v>
      </c>
      <c r="B25" s="45" t="n">
        <v>53000</v>
      </c>
      <c r="C25" s="45" t="n">
        <v>63000</v>
      </c>
      <c r="D25" s="44" t="s">
        <v>33</v>
      </c>
      <c r="E25" s="45" t="str">
        <f aca="false" t="array" ref="E25:E25">IF(F25&gt;100,"T1",IF(F25&gt;50,"T2",IF(F25&gt;10,"T3",IF(F25&gt;1,"T4",IF(F25=0,"TBD","T5")))))</f>
        <v>T2</v>
      </c>
      <c r="F25" s="45" t="n">
        <v>56.8</v>
      </c>
      <c r="G25" s="46" t="n">
        <v>0.497</v>
      </c>
      <c r="H25" s="47" t="n">
        <v>0.02</v>
      </c>
      <c r="I25" s="46" t="n">
        <v>0.9697</v>
      </c>
      <c r="J25" s="46" t="n">
        <f aca="false" t="array" ref="J25:J25">O25/N25</f>
        <v>0.137695914037369</v>
      </c>
      <c r="K25" s="48" t="n">
        <f aca="false" t="array" ref="K25:K25">C25/O25</f>
        <v>3.91425908667288</v>
      </c>
      <c r="L25" s="48" t="n">
        <f aca="false" t="array" ref="L25:L25">C25/P25</f>
        <v>37.2120496160662</v>
      </c>
      <c r="M25" s="49" t="e">
        <f aca="false" t="array" ref="M25:M25">C25/Q25</f>
        <v>#VALUE!</v>
      </c>
      <c r="N25" s="49" t="n">
        <v>116888</v>
      </c>
      <c r="O25" s="49" t="n">
        <v>16095</v>
      </c>
      <c r="P25" s="49" t="n">
        <v>1693</v>
      </c>
      <c r="Q25" s="44" t="s">
        <v>34</v>
      </c>
      <c r="R25" s="46" t="n">
        <v>0.329</v>
      </c>
      <c r="S25" s="46" t="n">
        <v>0.083</v>
      </c>
      <c r="T25" s="44" t="s">
        <v>34</v>
      </c>
      <c r="U25" s="44" t="s">
        <v>34</v>
      </c>
      <c r="V25" s="50"/>
      <c r="W25" s="45"/>
      <c r="X25" s="45"/>
      <c r="Y25" s="45"/>
      <c r="Z25" s="51"/>
      <c r="AA25" s="43" t="s">
        <v>73</v>
      </c>
    </row>
    <row r="26" customFormat="false" ht="18" hidden="false" customHeight="true" outlineLevel="0" collapsed="false">
      <c r="A26" s="44" t="s">
        <v>32</v>
      </c>
      <c r="B26" s="45" t="n">
        <v>150000</v>
      </c>
      <c r="C26" s="45" t="n">
        <v>150000</v>
      </c>
      <c r="D26" s="44" t="s">
        <v>36</v>
      </c>
      <c r="E26" s="45" t="str">
        <f aca="false" t="array" ref="E26:E26">IF(F26&gt;100,"T1",IF(F26&gt;50,"T2",IF(F26&gt;10,"T3",IF(F26&gt;1,"T4",IF(F26=0,"TBD","T5")))))</f>
        <v>T2</v>
      </c>
      <c r="F26" s="45" t="n">
        <v>79.9</v>
      </c>
      <c r="G26" s="46" t="n">
        <v>0.447</v>
      </c>
      <c r="H26" s="47" t="n">
        <v>0.042</v>
      </c>
      <c r="I26" s="46" t="n">
        <v>0.9252</v>
      </c>
      <c r="J26" s="46" t="n">
        <f aca="false" t="array" ref="J26:J26">O26/N26</f>
        <v>0.720940708346628</v>
      </c>
      <c r="K26" s="48" t="n">
        <f aca="false" t="array" ref="K26:K26">C26/O26</f>
        <v>0.781026268516831</v>
      </c>
      <c r="L26" s="48" t="n">
        <f aca="false" t="array" ref="L26:L26">C26/P26</f>
        <v>6.95829660899012</v>
      </c>
      <c r="M26" s="49" t="n">
        <f aca="false" t="array" ref="M26:M26">C26/Q26</f>
        <v>496.688741721854</v>
      </c>
      <c r="N26" s="49" t="n">
        <v>266395</v>
      </c>
      <c r="O26" s="49" t="n">
        <v>192055</v>
      </c>
      <c r="P26" s="49" t="n">
        <v>21557</v>
      </c>
      <c r="Q26" s="45" t="n">
        <v>302</v>
      </c>
      <c r="R26" s="46" t="n">
        <v>0.879</v>
      </c>
      <c r="S26" s="46" t="n">
        <v>0.001</v>
      </c>
      <c r="T26" s="44" t="s">
        <v>34</v>
      </c>
      <c r="U26" s="46" t="n">
        <v>0.1711</v>
      </c>
      <c r="V26" s="50"/>
      <c r="W26" s="45"/>
      <c r="X26" s="45"/>
      <c r="Y26" s="45"/>
      <c r="Z26" s="51"/>
      <c r="AA26" s="43" t="s">
        <v>74</v>
      </c>
    </row>
    <row r="27" customFormat="false" ht="18" hidden="false" customHeight="true" outlineLevel="0" collapsed="false">
      <c r="A27" s="44" t="s">
        <v>32</v>
      </c>
      <c r="B27" s="45" t="n">
        <v>20000</v>
      </c>
      <c r="C27" s="45" t="n">
        <v>20000</v>
      </c>
      <c r="D27" s="44" t="s">
        <v>36</v>
      </c>
      <c r="E27" s="45" t="str">
        <f aca="false" t="array" ref="E27:E27">IF(F27&gt;100,"T1",IF(F27&gt;50,"T2",IF(F27&gt;10,"T3",IF(F27&gt;1,"T4",IF(F27=0,"TBD","T5")))))</f>
        <v>T2</v>
      </c>
      <c r="F27" s="45" t="n">
        <v>66.5</v>
      </c>
      <c r="G27" s="46" t="n">
        <v>0.335</v>
      </c>
      <c r="H27" s="47" t="n">
        <v>0.046</v>
      </c>
      <c r="I27" s="46" t="n">
        <v>0.9563</v>
      </c>
      <c r="J27" s="46" t="n">
        <f aca="false" t="array" ref="J27:J27">O27/N27</f>
        <v>0.266790549508893</v>
      </c>
      <c r="K27" s="48" t="n">
        <f aca="false" t="array" ref="K27:K27">C27/O27</f>
        <v>1.65837479270315</v>
      </c>
      <c r="L27" s="48" t="n">
        <f aca="false" t="array" ref="L27:L27">C27/P27</f>
        <v>9.50570342205323</v>
      </c>
      <c r="M27" s="49" t="e">
        <f aca="false" t="array" ref="M27:M27">C27/Q27</f>
        <v>#VALUE!</v>
      </c>
      <c r="N27" s="49" t="n">
        <v>45204</v>
      </c>
      <c r="O27" s="45" t="n">
        <v>12060</v>
      </c>
      <c r="P27" s="49" t="n">
        <v>2104</v>
      </c>
      <c r="Q27" s="44" t="s">
        <v>34</v>
      </c>
      <c r="R27" s="46" t="n">
        <v>0.431</v>
      </c>
      <c r="S27" s="46" t="n">
        <v>0.041</v>
      </c>
      <c r="T27" s="44" t="s">
        <v>34</v>
      </c>
      <c r="U27" s="44" t="s">
        <v>34</v>
      </c>
      <c r="V27" s="50"/>
      <c r="W27" s="45"/>
      <c r="X27" s="45"/>
      <c r="Y27" s="45"/>
      <c r="Z27" s="51"/>
      <c r="AA27" s="43" t="s">
        <v>75</v>
      </c>
    </row>
    <row r="28" customFormat="false" ht="18" hidden="false" customHeight="true" outlineLevel="0" collapsed="false">
      <c r="A28" s="44" t="s">
        <v>32</v>
      </c>
      <c r="B28" s="45" t="n">
        <v>28000</v>
      </c>
      <c r="C28" s="45" t="n">
        <v>30000</v>
      </c>
      <c r="D28" s="44" t="s">
        <v>61</v>
      </c>
      <c r="E28" s="45" t="str">
        <f aca="false" t="array" ref="E28:E28">IF(F28&gt;100,"T1",IF(F28&gt;50,"T2",IF(F28&gt;10,"T3",IF(F28&gt;1,"T4",IF(F28=0,"TBD","T5")))))</f>
        <v>T3</v>
      </c>
      <c r="F28" s="45" t="n">
        <v>13.2</v>
      </c>
      <c r="G28" s="46" t="n">
        <v>0.312</v>
      </c>
      <c r="H28" s="47" t="n">
        <v>0.089</v>
      </c>
      <c r="I28" s="46" t="n">
        <v>0.7272</v>
      </c>
      <c r="J28" s="46" t="n">
        <f aca="false" t="array" ref="J28:J28">O28/N28</f>
        <v>0.216924019819747</v>
      </c>
      <c r="K28" s="48" t="n">
        <f aca="false" t="array" ref="K28:K28">C28/O28</f>
        <v>0.265705403562224</v>
      </c>
      <c r="L28" s="48" t="n">
        <f aca="false" t="array" ref="L28:L28">C28/P28</f>
        <v>8.76424189307625</v>
      </c>
      <c r="M28" s="49" t="n">
        <f aca="false" t="array" ref="M28:M28">C28/Q28</f>
        <v>4.84417891167447</v>
      </c>
      <c r="N28" s="49" t="n">
        <v>520491</v>
      </c>
      <c r="O28" s="45" t="n">
        <v>112907</v>
      </c>
      <c r="P28" s="49" t="n">
        <v>3423</v>
      </c>
      <c r="Q28" s="45" t="n">
        <v>6193</v>
      </c>
      <c r="R28" s="46" t="n">
        <v>0.619</v>
      </c>
      <c r="S28" s="46" t="n">
        <v>0.006</v>
      </c>
      <c r="T28" s="44" t="s">
        <v>34</v>
      </c>
      <c r="U28" s="44" t="s">
        <v>34</v>
      </c>
      <c r="V28" s="50"/>
      <c r="W28" s="45"/>
      <c r="X28" s="45"/>
      <c r="Y28" s="45"/>
      <c r="Z28" s="51"/>
      <c r="AA28" s="43" t="s">
        <v>76</v>
      </c>
    </row>
    <row r="29" customFormat="false" ht="18" hidden="false" customHeight="true" outlineLevel="0" collapsed="false">
      <c r="A29" s="44" t="s">
        <v>32</v>
      </c>
      <c r="B29" s="45" t="n">
        <v>6500</v>
      </c>
      <c r="C29" s="45" t="n">
        <v>8000</v>
      </c>
      <c r="D29" s="44" t="s">
        <v>36</v>
      </c>
      <c r="E29" s="45" t="str">
        <f aca="false" t="array" ref="E29:E29">IF(F29&gt;100,"T1",IF(F29&gt;50,"T2",IF(F29&gt;10,"T3",IF(F29&gt;1,"T4",IF(F29=0,"TBD","T5")))))</f>
        <v>T4</v>
      </c>
      <c r="F29" s="45" t="n">
        <v>4.9</v>
      </c>
      <c r="G29" s="46" t="n">
        <v>0.425</v>
      </c>
      <c r="H29" s="47" t="n">
        <v>0.04</v>
      </c>
      <c r="I29" s="46" t="n">
        <v>0.9324</v>
      </c>
      <c r="J29" s="46" t="n">
        <f aca="false" t="array" ref="J29:J29">O29/N29</f>
        <v>0.381151495657768</v>
      </c>
      <c r="K29" s="48" t="n">
        <f aca="false" t="array" ref="K29:K29">C29/O29</f>
        <v>0.35531867643793</v>
      </c>
      <c r="L29" s="48" t="n">
        <f aca="false" t="array" ref="L29:L29">C29/P29</f>
        <v>7.06713780918728</v>
      </c>
      <c r="M29" s="49" t="e">
        <f aca="false" t="array" ref="M29:M29">C29/Q29</f>
        <v>#VALUE!</v>
      </c>
      <c r="N29" s="49" t="n">
        <v>59071</v>
      </c>
      <c r="O29" s="49" t="n">
        <v>22515</v>
      </c>
      <c r="P29" s="49" t="n">
        <v>1132</v>
      </c>
      <c r="Q29" s="44" t="s">
        <v>34</v>
      </c>
      <c r="R29" s="46" t="n">
        <v>0.591</v>
      </c>
      <c r="S29" s="46" t="n">
        <v>0.004</v>
      </c>
      <c r="T29" s="44" t="s">
        <v>34</v>
      </c>
      <c r="U29" s="46" t="n">
        <v>0.0161</v>
      </c>
      <c r="V29" s="50"/>
      <c r="W29" s="45"/>
      <c r="X29" s="45"/>
      <c r="Y29" s="45"/>
      <c r="Z29" s="51"/>
      <c r="AA29" s="43" t="s">
        <v>77</v>
      </c>
    </row>
    <row r="30" customFormat="false" ht="18" hidden="false" customHeight="true" outlineLevel="0" collapsed="false">
      <c r="A30" s="44" t="s">
        <v>32</v>
      </c>
      <c r="B30" s="45" t="n">
        <v>28000</v>
      </c>
      <c r="C30" s="45" t="n">
        <v>35000</v>
      </c>
      <c r="D30" s="44" t="s">
        <v>33</v>
      </c>
      <c r="E30" s="45" t="str">
        <f aca="false" t="array" ref="E30:E30">IF(F30&gt;100,"T1",IF(F30&gt;50,"T2",IF(F30&gt;10,"T3",IF(F30&gt;1,"T4",IF(F30=0,"TBD","T5")))))</f>
        <v>T2</v>
      </c>
      <c r="F30" s="45" t="n">
        <v>50.2</v>
      </c>
      <c r="G30" s="46" t="n">
        <v>0.611</v>
      </c>
      <c r="H30" s="47" t="n">
        <v>0.025</v>
      </c>
      <c r="I30" s="46" t="n">
        <v>0.9765</v>
      </c>
      <c r="J30" s="46" t="n">
        <f aca="false" t="array" ref="J30:J30">O30/N30</f>
        <v>0.082983913614575</v>
      </c>
      <c r="K30" s="48" t="n">
        <f aca="false" t="array" ref="K30:K30">C30/O30</f>
        <v>1.43896723266044</v>
      </c>
      <c r="L30" s="48" t="n">
        <f aca="false" t="array" ref="L30:L30">C30/P30</f>
        <v>6.139273811612</v>
      </c>
      <c r="M30" s="49" t="n">
        <f aca="false" t="array" ref="M30:M30">C30/Q30</f>
        <v>91.8635170603675</v>
      </c>
      <c r="N30" s="49" t="n">
        <v>293105</v>
      </c>
      <c r="O30" s="49" t="n">
        <v>24323</v>
      </c>
      <c r="P30" s="49" t="n">
        <v>5701</v>
      </c>
      <c r="Q30" s="45" t="n">
        <v>381</v>
      </c>
      <c r="R30" s="46" t="n">
        <v>0.627</v>
      </c>
      <c r="S30" s="46" t="n">
        <v>0.022</v>
      </c>
      <c r="T30" s="44" t="s">
        <v>34</v>
      </c>
      <c r="U30" s="46" t="n">
        <v>0.413</v>
      </c>
      <c r="V30" s="50"/>
      <c r="W30" s="45"/>
      <c r="X30" s="45"/>
      <c r="Y30" s="45"/>
      <c r="Z30" s="51"/>
      <c r="AA30" s="43" t="s">
        <v>78</v>
      </c>
    </row>
    <row r="31" customFormat="false" ht="18" hidden="false" customHeight="true" outlineLevel="0" collapsed="false">
      <c r="A31" s="44" t="s">
        <v>32</v>
      </c>
      <c r="B31" s="45" t="n">
        <v>8000</v>
      </c>
      <c r="C31" s="45" t="n">
        <v>11000</v>
      </c>
      <c r="D31" s="44" t="s">
        <v>33</v>
      </c>
      <c r="E31" s="45" t="str">
        <f aca="false" t="array" ref="E31:E31">IF(F31&gt;100,"T1",IF(F31&gt;50,"T2",IF(F31&gt;10,"T3",IF(F31&gt;1,"T4",IF(F31=0,"TBD","T5")))))</f>
        <v>T4</v>
      </c>
      <c r="F31" s="45" t="n">
        <v>9</v>
      </c>
      <c r="G31" s="46" t="n">
        <v>0.425</v>
      </c>
      <c r="H31" s="47" t="n">
        <v>0.038</v>
      </c>
      <c r="I31" s="46" t="n">
        <v>0.9424</v>
      </c>
      <c r="J31" s="46" t="n">
        <f aca="false" t="array" ref="J31:J31">O31/N31</f>
        <v>0.22277313632645</v>
      </c>
      <c r="K31" s="48" t="n">
        <f aca="false" t="array" ref="K31:K31">C31/O31</f>
        <v>1.2241264188738</v>
      </c>
      <c r="L31" s="48" t="n">
        <f aca="false" t="array" ref="L31:L31">C31/P31</f>
        <v>10</v>
      </c>
      <c r="M31" s="49" t="e">
        <f aca="false" t="array" ref="M31:M31">C31/Q31</f>
        <v>#VALUE!</v>
      </c>
      <c r="N31" s="49" t="n">
        <v>40337</v>
      </c>
      <c r="O31" s="45" t="n">
        <v>8986</v>
      </c>
      <c r="P31" s="49" t="n">
        <v>1100</v>
      </c>
      <c r="Q31" s="44" t="s">
        <v>34</v>
      </c>
      <c r="R31" s="46" t="n">
        <v>0.847</v>
      </c>
      <c r="S31" s="46" t="n">
        <v>0.005</v>
      </c>
      <c r="T31" s="44" t="s">
        <v>34</v>
      </c>
      <c r="U31" s="46" t="n">
        <v>0.048</v>
      </c>
      <c r="V31" s="50"/>
      <c r="W31" s="45"/>
      <c r="X31" s="45"/>
      <c r="Y31" s="45"/>
      <c r="Z31" s="51"/>
      <c r="AA31" s="43" t="s">
        <v>79</v>
      </c>
    </row>
    <row r="32" customFormat="false" ht="18" hidden="false" customHeight="true" outlineLevel="0" collapsed="false">
      <c r="A32" s="44" t="s">
        <v>32</v>
      </c>
      <c r="B32" s="45" t="n">
        <v>12000</v>
      </c>
      <c r="C32" s="45" t="n">
        <v>15000</v>
      </c>
      <c r="D32" s="44" t="s">
        <v>36</v>
      </c>
      <c r="E32" s="45" t="str">
        <f aca="false" t="array" ref="E32:E32">IF(F32&gt;100,"T1",IF(F32&gt;50,"T2",IF(F32&gt;10,"T3",IF(F32&gt;1,"T4",IF(F32=0,"TBD","T5")))))</f>
        <v>T4</v>
      </c>
      <c r="F32" s="45" t="n">
        <v>9.4</v>
      </c>
      <c r="G32" s="46" t="n">
        <v>0.483</v>
      </c>
      <c r="H32" s="47" t="n">
        <v>0.043</v>
      </c>
      <c r="I32" s="46" t="n">
        <v>0.7621</v>
      </c>
      <c r="J32" s="46" t="n">
        <f aca="false" t="array" ref="J32:J32">O32/N32</f>
        <v>0.186303902463399</v>
      </c>
      <c r="K32" s="48" t="n">
        <f aca="false" t="array" ref="K32:K32">C32/O32</f>
        <v>2.01153278798444</v>
      </c>
      <c r="L32" s="48" t="n">
        <f aca="false" t="array" ref="L32:L32">C32/P32</f>
        <v>10.1971447994562</v>
      </c>
      <c r="M32" s="49" t="n">
        <f aca="false" t="array" ref="M32:M32">C32/Q32</f>
        <v>365.853658536585</v>
      </c>
      <c r="N32" s="49" t="n">
        <v>40026</v>
      </c>
      <c r="O32" s="49" t="n">
        <v>7457</v>
      </c>
      <c r="P32" s="49" t="n">
        <v>1471</v>
      </c>
      <c r="Q32" s="45" t="n">
        <v>41</v>
      </c>
      <c r="R32" s="46" t="n">
        <v>0.523</v>
      </c>
      <c r="S32" s="46" t="n">
        <v>0.008</v>
      </c>
      <c r="T32" s="44" t="s">
        <v>34</v>
      </c>
      <c r="U32" s="46" t="n">
        <v>0.5294</v>
      </c>
      <c r="V32" s="50"/>
      <c r="W32" s="45"/>
      <c r="X32" s="45"/>
      <c r="Y32" s="45"/>
      <c r="Z32" s="51"/>
      <c r="AA32" s="43" t="s">
        <v>80</v>
      </c>
    </row>
    <row r="33" customFormat="false" ht="18" hidden="false" customHeight="true" outlineLevel="0" collapsed="false">
      <c r="A33" s="44" t="s">
        <v>32</v>
      </c>
      <c r="B33" s="45" t="n">
        <v>22400</v>
      </c>
      <c r="C33" s="45" t="n">
        <v>28000</v>
      </c>
      <c r="D33" s="44" t="s">
        <v>33</v>
      </c>
      <c r="E33" s="45" t="str">
        <f aca="false" t="array" ref="E33:E33">IF(F33&gt;100,"T1",IF(F33&gt;50,"T2",IF(F33&gt;10,"T3",IF(F33&gt;1,"T4",IF(F33=0,"TBD","T5")))))</f>
        <v>T3</v>
      </c>
      <c r="F33" s="45" t="n">
        <v>31.4</v>
      </c>
      <c r="G33" s="46" t="n">
        <v>0.548</v>
      </c>
      <c r="H33" s="47" t="n">
        <v>0.039</v>
      </c>
      <c r="I33" s="46" t="n">
        <v>0.9757</v>
      </c>
      <c r="J33" s="46" t="n">
        <f aca="false" t="array" ref="J33:J33">O33/N33</f>
        <v>0.270081383052094</v>
      </c>
      <c r="K33" s="48" t="n">
        <f aca="false" t="array" ref="K33:K33">C33/O33</f>
        <v>4.76676881171263</v>
      </c>
      <c r="L33" s="48" t="n">
        <f aca="false" t="array" ref="L33:L33">C33/P33</f>
        <v>9.27766732935719</v>
      </c>
      <c r="M33" s="49" t="n">
        <f aca="false" t="array" ref="M33:M33">C33/Q33</f>
        <v>110.236220472441</v>
      </c>
      <c r="N33" s="49" t="n">
        <v>21749</v>
      </c>
      <c r="O33" s="45" t="n">
        <v>5874</v>
      </c>
      <c r="P33" s="49" t="n">
        <v>3018</v>
      </c>
      <c r="Q33" s="45" t="n">
        <v>254</v>
      </c>
      <c r="R33" s="46" t="n">
        <v>0.431</v>
      </c>
      <c r="S33" s="46" t="n">
        <v>0.119</v>
      </c>
      <c r="T33" s="44" t="s">
        <v>34</v>
      </c>
      <c r="U33" s="46" t="n">
        <v>0.3235</v>
      </c>
      <c r="V33" s="50"/>
      <c r="W33" s="45"/>
      <c r="X33" s="45"/>
      <c r="Y33" s="45"/>
      <c r="Z33" s="51"/>
      <c r="AA33" s="43" t="s">
        <v>80</v>
      </c>
    </row>
    <row r="34" customFormat="false" ht="18" hidden="false" customHeight="true" outlineLevel="0" collapsed="false">
      <c r="A34" s="44" t="s">
        <v>32</v>
      </c>
      <c r="B34" s="45" t="n">
        <v>28000</v>
      </c>
      <c r="C34" s="45" t="n">
        <v>35000</v>
      </c>
      <c r="D34" s="44" t="s">
        <v>33</v>
      </c>
      <c r="E34" s="45" t="str">
        <f aca="false" t="array" ref="E34:E34">IF(F34&gt;100,"T1",IF(F34&gt;50,"T2",IF(F34&gt;10,"T3",IF(F34&gt;1,"T4",IF(F34=0,"TBD","T5")))))</f>
        <v>T3</v>
      </c>
      <c r="F34" s="45" t="n">
        <v>14.1</v>
      </c>
      <c r="G34" s="46" t="n">
        <v>0.532</v>
      </c>
      <c r="H34" s="47" t="n">
        <v>0.026</v>
      </c>
      <c r="I34" s="46" t="n">
        <v>0.4697</v>
      </c>
      <c r="J34" s="46" t="n">
        <f aca="false" t="array" ref="J34:J34">O34/N34</f>
        <v>0.126362185276904</v>
      </c>
      <c r="K34" s="48" t="n">
        <f aca="false" t="array" ref="K34:K34">C34/O34</f>
        <v>1.81941051099444</v>
      </c>
      <c r="L34" s="48" t="n">
        <f aca="false" t="array" ref="L34:L34">C34/P34</f>
        <v>10.4415274463007</v>
      </c>
      <c r="M34" s="49" t="e">
        <f aca="false" t="array" ref="M34:M34">C34/Q34</f>
        <v>#VALUE!</v>
      </c>
      <c r="N34" s="49" t="n">
        <v>152237</v>
      </c>
      <c r="O34" s="49" t="n">
        <v>19237</v>
      </c>
      <c r="P34" s="49" t="n">
        <v>3352</v>
      </c>
      <c r="Q34" s="44" t="s">
        <v>34</v>
      </c>
      <c r="R34" s="46" t="n">
        <v>0.756</v>
      </c>
      <c r="S34" s="46" t="n">
        <v>0.047</v>
      </c>
      <c r="T34" s="44" t="s">
        <v>34</v>
      </c>
      <c r="U34" s="46" t="n">
        <v>0.0961</v>
      </c>
      <c r="V34" s="50"/>
      <c r="W34" s="45"/>
      <c r="X34" s="45"/>
      <c r="Y34" s="45"/>
      <c r="Z34" s="51"/>
      <c r="AA34" s="43" t="s">
        <v>81</v>
      </c>
    </row>
    <row r="35" customFormat="false" ht="18" hidden="false" customHeight="true" outlineLevel="0" collapsed="false">
      <c r="A35" s="44" t="s">
        <v>32</v>
      </c>
      <c r="B35" s="45" t="n">
        <v>15000</v>
      </c>
      <c r="C35" s="45" t="n">
        <v>19800</v>
      </c>
      <c r="D35" s="44" t="s">
        <v>36</v>
      </c>
      <c r="E35" s="45" t="str">
        <f aca="false" t="array" ref="E35:E35">IF(F35&gt;100,"T1",IF(F35&gt;50,"T2",IF(F35&gt;10,"T3",IF(F35&gt;1,"T4",IF(F35=0,"TBD","T5")))))</f>
        <v>T3</v>
      </c>
      <c r="F35" s="45" t="n">
        <v>15.3</v>
      </c>
      <c r="G35" s="46" t="n">
        <v>0.437</v>
      </c>
      <c r="H35" s="47" t="n">
        <v>0.043</v>
      </c>
      <c r="I35" s="46" t="n">
        <v>0.9512</v>
      </c>
      <c r="J35" s="46" t="n">
        <f aca="false" t="array" ref="J35:J35">O35/N35</f>
        <v>0.238782401671404</v>
      </c>
      <c r="K35" s="48" t="n">
        <f aca="false" t="array" ref="K35:K35">C35/O35</f>
        <v>2.01444704446027</v>
      </c>
      <c r="L35" s="48" t="n">
        <f aca="false" t="array" ref="L35:L35">C35/P35</f>
        <v>7.44360902255639</v>
      </c>
      <c r="M35" s="49" t="n">
        <f aca="false" t="array" ref="M35:M35">C35/Q35</f>
        <v>250.632911392405</v>
      </c>
      <c r="N35" s="49" t="n">
        <v>41163</v>
      </c>
      <c r="O35" s="45" t="n">
        <v>9829</v>
      </c>
      <c r="P35" s="49" t="n">
        <v>2660</v>
      </c>
      <c r="Q35" s="45" t="n">
        <v>79</v>
      </c>
      <c r="R35" s="46" t="n">
        <v>0.748</v>
      </c>
      <c r="S35" s="46" t="n">
        <v>0.017</v>
      </c>
      <c r="T35" s="44" t="s">
        <v>34</v>
      </c>
      <c r="U35" s="46" t="n">
        <v>0.4286</v>
      </c>
      <c r="V35" s="50"/>
      <c r="W35" s="45"/>
      <c r="X35" s="45"/>
      <c r="Y35" s="45"/>
      <c r="Z35" s="51"/>
      <c r="AA35" s="43" t="s">
        <v>82</v>
      </c>
    </row>
    <row r="36" customFormat="false" ht="18" hidden="false" customHeight="true" outlineLevel="0" collapsed="false">
      <c r="A36" s="52" t="s">
        <v>32</v>
      </c>
      <c r="B36" s="53" t="n">
        <v>15000</v>
      </c>
      <c r="C36" s="53" t="n">
        <v>23000</v>
      </c>
      <c r="D36" s="52" t="s">
        <v>33</v>
      </c>
      <c r="E36" s="53" t="str">
        <f aca="false" t="array" ref="E36:E36">IF(F36&gt;100,"T1",IF(F36&gt;50,"T2",IF(F36&gt;10,"T3",IF(F36&gt;1,"T4",IF(F36=0,"TBD","T5")))))</f>
        <v>T3</v>
      </c>
      <c r="F36" s="53" t="n">
        <v>10.1</v>
      </c>
      <c r="G36" s="54" t="n">
        <v>0.34</v>
      </c>
      <c r="H36" s="55" t="n">
        <v>0.051</v>
      </c>
      <c r="I36" s="54" t="n">
        <v>0.9216</v>
      </c>
      <c r="J36" s="54" t="n">
        <f aca="false" t="array" ref="J36:J36">O36/N36</f>
        <v>0.168041311919505</v>
      </c>
      <c r="K36" s="56" t="n">
        <f aca="false" t="array" ref="K36:K36">C36/O36</f>
        <v>1.6552716804606</v>
      </c>
      <c r="L36" s="56" t="n">
        <f aca="false" t="array" ref="L36:L36">C36/P36</f>
        <v>6.96969696969697</v>
      </c>
      <c r="M36" s="57" t="n">
        <f aca="false" t="array" ref="M36:M36">C36/Q36</f>
        <v>44.5736434108527</v>
      </c>
      <c r="N36" s="57" t="n">
        <v>82688</v>
      </c>
      <c r="O36" s="57" t="n">
        <v>13895</v>
      </c>
      <c r="P36" s="57" t="n">
        <v>3300</v>
      </c>
      <c r="Q36" s="53" t="n">
        <v>516</v>
      </c>
      <c r="R36" s="54" t="n">
        <v>0.863</v>
      </c>
      <c r="S36" s="54" t="n">
        <v>0.032</v>
      </c>
      <c r="T36" s="52" t="s">
        <v>34</v>
      </c>
      <c r="U36" s="54" t="n">
        <v>0.4373</v>
      </c>
      <c r="V36" s="58"/>
      <c r="W36" s="53"/>
      <c r="X36" s="53"/>
      <c r="Y36" s="53"/>
      <c r="Z36" s="59"/>
      <c r="AA36" s="43" t="s">
        <v>83</v>
      </c>
    </row>
    <row r="37" customFormat="false" ht="17.4" hidden="false" customHeight="tru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4"/>
      <c r="W37" s="33"/>
      <c r="X37" s="33"/>
      <c r="Y37" s="33"/>
      <c r="Z37" s="33"/>
      <c r="AA37" s="34"/>
    </row>
    <row r="38" customFormat="false" ht="17.4" hidden="false" customHeight="true" outlineLevel="0" collapsed="false">
      <c r="A38" s="35" t="s">
        <v>32</v>
      </c>
      <c r="B38" s="36" t="n">
        <v>6000</v>
      </c>
      <c r="C38" s="36" t="n">
        <v>4800</v>
      </c>
      <c r="D38" s="35" t="s">
        <v>33</v>
      </c>
      <c r="E38" s="36" t="str">
        <f aca="false" t="array" ref="E38:E38">IF(F38&gt;100,"T1",IF(F38&gt;50,"T2",IF(F38&gt;10,"T3",IF(F38&gt;1,"T4",IF(F38=0,"TBD","T5")))))</f>
        <v>T4</v>
      </c>
      <c r="F38" s="36" t="n">
        <v>6.1</v>
      </c>
      <c r="G38" s="37" t="n">
        <v>0.472</v>
      </c>
      <c r="H38" s="38" t="n">
        <v>0.027</v>
      </c>
      <c r="I38" s="37" t="n">
        <v>0.9741</v>
      </c>
      <c r="J38" s="37" t="n">
        <f aca="false" t="array" ref="J38:J38">O38/N38</f>
        <v>0.646493079990617</v>
      </c>
      <c r="K38" s="39" t="n">
        <f aca="false" t="array" ref="K38:K38">B38/O38</f>
        <v>2.17706821480406</v>
      </c>
      <c r="L38" s="39" t="n">
        <f aca="false" t="array" ref="L38:L38">B38/P38</f>
        <v>26.0869565217391</v>
      </c>
      <c r="M38" s="40" t="e">
        <f aca="false" t="array" ref="M38:M38">B38/Q38</f>
        <v>#VALUE!</v>
      </c>
      <c r="N38" s="36" t="n">
        <v>4263</v>
      </c>
      <c r="O38" s="36" t="n">
        <v>2756</v>
      </c>
      <c r="P38" s="36" t="n">
        <v>230</v>
      </c>
      <c r="Q38" s="35" t="s">
        <v>34</v>
      </c>
      <c r="R38" s="37" t="n">
        <v>0.698</v>
      </c>
      <c r="S38" s="37" t="n">
        <v>0.04</v>
      </c>
      <c r="T38" s="37" t="n">
        <v>0.1694</v>
      </c>
      <c r="U38" s="35" t="s">
        <v>34</v>
      </c>
      <c r="V38" s="60"/>
      <c r="W38" s="36"/>
      <c r="X38" s="36"/>
      <c r="Y38" s="36"/>
      <c r="Z38" s="42"/>
      <c r="AA38" s="43" t="s">
        <v>84</v>
      </c>
    </row>
    <row r="39" customFormat="false" ht="18.9" hidden="false" customHeight="true" outlineLevel="0" collapsed="false">
      <c r="A39" s="44" t="s">
        <v>32</v>
      </c>
      <c r="B39" s="45" t="n">
        <v>8000</v>
      </c>
      <c r="C39" s="45" t="n">
        <v>9500</v>
      </c>
      <c r="D39" s="44" t="s">
        <v>33</v>
      </c>
      <c r="E39" s="45" t="str">
        <f aca="false" t="array" ref="E39:E39">IF(F39&gt;100,"T1",IF(F39&gt;50,"T2",IF(F39&gt;10,"T3",IF(F39&gt;1,"T4",IF(F39=0,"TBD","T5")))))</f>
        <v>T4</v>
      </c>
      <c r="F39" s="45" t="n">
        <v>5.6</v>
      </c>
      <c r="G39" s="46" t="n">
        <v>0.511</v>
      </c>
      <c r="H39" s="47" t="n">
        <v>0.023</v>
      </c>
      <c r="I39" s="46" t="n">
        <v>0.9231</v>
      </c>
      <c r="J39" s="46" t="n">
        <f aca="false" t="array" ref="J39:J39">O39/N39</f>
        <v>0.202979089086222</v>
      </c>
      <c r="K39" s="48" t="n">
        <f aca="false" t="array" ref="K39:K39">C39/O39</f>
        <v>0.893781164737981</v>
      </c>
      <c r="L39" s="48" t="n">
        <f aca="false" t="array" ref="L39:L39">C39/P39</f>
        <v>9.26829268292683</v>
      </c>
      <c r="M39" s="49" t="n">
        <f aca="false" t="array" ref="M39:M39">C39/Q39</f>
        <v>32.2033898305085</v>
      </c>
      <c r="N39" s="45" t="n">
        <v>52365</v>
      </c>
      <c r="O39" s="45" t="n">
        <v>10629</v>
      </c>
      <c r="P39" s="45" t="n">
        <v>1025</v>
      </c>
      <c r="Q39" s="45" t="n">
        <v>295</v>
      </c>
      <c r="R39" s="46" t="n">
        <v>0.851</v>
      </c>
      <c r="S39" s="46" t="n">
        <v>0.11</v>
      </c>
      <c r="T39" s="46" t="n">
        <v>0.8168</v>
      </c>
      <c r="U39" s="46" t="n">
        <v>0.8327</v>
      </c>
      <c r="V39" s="61"/>
      <c r="W39" s="45"/>
      <c r="X39" s="45"/>
      <c r="Y39" s="45"/>
      <c r="Z39" s="51"/>
      <c r="AA39" s="43" t="s">
        <v>85</v>
      </c>
    </row>
    <row r="40" customFormat="false" ht="18.9" hidden="false" customHeight="true" outlineLevel="0" collapsed="false">
      <c r="A40" s="44" t="s">
        <v>32</v>
      </c>
      <c r="B40" s="45" t="n">
        <v>6700</v>
      </c>
      <c r="C40" s="45" t="n">
        <v>7100</v>
      </c>
      <c r="D40" s="44" t="s">
        <v>33</v>
      </c>
      <c r="E40" s="45" t="str">
        <f aca="false" t="array" ref="E40:E40">IF(F40&gt;100,"T1",IF(F40&gt;50,"T2",IF(F40&gt;10,"T3",IF(F40&gt;1,"T4",IF(F40=0,"TBD","T5")))))</f>
        <v>T4</v>
      </c>
      <c r="F40" s="45" t="n">
        <v>5.4</v>
      </c>
      <c r="G40" s="46" t="n">
        <v>0.361</v>
      </c>
      <c r="H40" s="47" t="n">
        <v>0.025</v>
      </c>
      <c r="I40" s="46" t="n">
        <v>0.9734</v>
      </c>
      <c r="J40" s="46" t="n">
        <f aca="false" t="array" ref="J40:J40">O40/N40</f>
        <v>0.0847355769230769</v>
      </c>
      <c r="K40" s="48" t="n">
        <f aca="false" t="array" ref="K40:K40">B40/O40</f>
        <v>1.90070921985816</v>
      </c>
      <c r="L40" s="48" t="n">
        <f aca="false" t="array" ref="L40:L40">B40/P40</f>
        <v>23.1034482758621</v>
      </c>
      <c r="M40" s="49" t="n">
        <f aca="false" t="array" ref="M40:M40">B40/Q40</f>
        <v>15.952380952381</v>
      </c>
      <c r="N40" s="45" t="n">
        <v>41600</v>
      </c>
      <c r="O40" s="45" t="n">
        <v>3525</v>
      </c>
      <c r="P40" s="45" t="n">
        <v>290</v>
      </c>
      <c r="Q40" s="45" t="n">
        <v>420</v>
      </c>
      <c r="R40" s="46" t="n">
        <v>0.664</v>
      </c>
      <c r="S40" s="46" t="n">
        <v>0.295</v>
      </c>
      <c r="T40" s="46" t="n">
        <v>0.3173</v>
      </c>
      <c r="U40" s="46" t="n">
        <v>0.7467</v>
      </c>
      <c r="V40" s="61"/>
      <c r="W40" s="45"/>
      <c r="X40" s="45"/>
      <c r="Y40" s="45"/>
      <c r="Z40" s="51"/>
      <c r="AA40" s="43" t="s">
        <v>86</v>
      </c>
    </row>
    <row r="41" customFormat="false" ht="18.9" hidden="false" customHeight="true" outlineLevel="0" collapsed="false">
      <c r="A41" s="44" t="s">
        <v>32</v>
      </c>
      <c r="B41" s="45" t="n">
        <v>15000</v>
      </c>
      <c r="C41" s="45" t="n">
        <v>13260</v>
      </c>
      <c r="D41" s="44" t="s">
        <v>33</v>
      </c>
      <c r="E41" s="45" t="str">
        <f aca="false" t="array" ref="E41:E41">IF(F41&gt;100,"T1",IF(F41&gt;50,"T2",IF(F41&gt;10,"T3",IF(F41&gt;1,"T4",IF(F41=0,"TBD","T5")))))</f>
        <v>T3</v>
      </c>
      <c r="F41" s="45" t="n">
        <v>13.9</v>
      </c>
      <c r="G41" s="46" t="n">
        <v>0.31</v>
      </c>
      <c r="H41" s="47" t="n">
        <v>0.074</v>
      </c>
      <c r="I41" s="46" t="n">
        <v>0.8542</v>
      </c>
      <c r="J41" s="46" t="n">
        <f aca="false" t="array" ref="J41:J41">O41/N41</f>
        <v>0.167495198969298</v>
      </c>
      <c r="K41" s="48" t="n">
        <f aca="false" t="array" ref="K41:K41">B41/O41</f>
        <v>0.544247305975835</v>
      </c>
      <c r="L41" s="48" t="n">
        <f aca="false" t="array" ref="L41:L41">B41/P41</f>
        <v>13.6612021857924</v>
      </c>
      <c r="M41" s="49" t="n">
        <f aca="false" t="array" ref="M41:M41">B41/Q41</f>
        <v>57.2519083969466</v>
      </c>
      <c r="N41" s="45" t="n">
        <v>164548</v>
      </c>
      <c r="O41" s="45" t="n">
        <v>27561</v>
      </c>
      <c r="P41" s="45" t="n">
        <v>1098</v>
      </c>
      <c r="Q41" s="45" t="n">
        <v>262</v>
      </c>
      <c r="R41" s="46" t="n">
        <v>0.939</v>
      </c>
      <c r="S41" s="46" t="n">
        <v>0.039</v>
      </c>
      <c r="T41" s="46" t="n">
        <v>0.347</v>
      </c>
      <c r="U41" s="44" t="s">
        <v>34</v>
      </c>
      <c r="V41" s="61"/>
      <c r="W41" s="45"/>
      <c r="X41" s="45"/>
      <c r="Y41" s="45"/>
      <c r="Z41" s="51"/>
      <c r="AA41" s="43" t="s">
        <v>87</v>
      </c>
    </row>
    <row r="42" customFormat="false" ht="18.9" hidden="false" customHeight="true" outlineLevel="0" collapsed="false">
      <c r="A42" s="44" t="s">
        <v>32</v>
      </c>
      <c r="B42" s="45" t="n">
        <v>6500</v>
      </c>
      <c r="C42" s="45" t="n">
        <v>14000</v>
      </c>
      <c r="D42" s="44" t="s">
        <v>33</v>
      </c>
      <c r="E42" s="45" t="str">
        <f aca="false" t="array" ref="E42:E42">IF(F42&gt;100,"T1",IF(F42&gt;50,"T2",IF(F42&gt;10,"T3",IF(F42&gt;1,"T4",IF(F42=0,"TBD","T5")))))</f>
        <v>T4</v>
      </c>
      <c r="F42" s="45" t="n">
        <v>8.6</v>
      </c>
      <c r="G42" s="46" t="n">
        <v>0.306</v>
      </c>
      <c r="H42" s="47" t="n">
        <v>0.061</v>
      </c>
      <c r="I42" s="46" t="n">
        <v>0.9611</v>
      </c>
      <c r="J42" s="46" t="n">
        <f aca="false" t="array" ref="J42:J42">O42/N42</f>
        <v>0.160287217242124</v>
      </c>
      <c r="K42" s="48" t="n">
        <f aca="false" t="array" ref="K42:K42">C42/O42</f>
        <v>0.992344768925432</v>
      </c>
      <c r="L42" s="48" t="n">
        <f aca="false" t="array" ref="L42:L42">C42/P42</f>
        <v>11.4566284779051</v>
      </c>
      <c r="M42" s="49" t="n">
        <f aca="false" t="array" ref="M42:M42">C42/Q42</f>
        <v>29.6610169491525</v>
      </c>
      <c r="N42" s="45" t="n">
        <v>88017</v>
      </c>
      <c r="O42" s="45" t="n">
        <v>14108</v>
      </c>
      <c r="P42" s="45" t="n">
        <v>1222</v>
      </c>
      <c r="Q42" s="45" t="n">
        <v>472</v>
      </c>
      <c r="R42" s="46" t="n">
        <v>0.844</v>
      </c>
      <c r="S42" s="46" t="n">
        <v>0.014</v>
      </c>
      <c r="T42" s="44" t="s">
        <v>34</v>
      </c>
      <c r="U42" s="46" t="n">
        <v>0.44</v>
      </c>
      <c r="V42" s="61"/>
      <c r="W42" s="45"/>
      <c r="X42" s="45"/>
      <c r="Y42" s="45"/>
      <c r="Z42" s="51"/>
      <c r="AA42" s="43" t="s">
        <v>88</v>
      </c>
    </row>
    <row r="43" customFormat="false" ht="18.9" hidden="false" customHeight="true" outlineLevel="0" collapsed="false">
      <c r="A43" s="44" t="s">
        <v>32</v>
      </c>
      <c r="B43" s="45" t="n">
        <v>18000</v>
      </c>
      <c r="C43" s="45" t="n">
        <v>25000</v>
      </c>
      <c r="D43" s="44" t="s">
        <v>33</v>
      </c>
      <c r="E43" s="45" t="str">
        <f aca="false" t="array" ref="E43:E43">IF(F43&gt;100,"T1",IF(F43&gt;50,"T2",IF(F43&gt;10,"T3",IF(F43&gt;1,"T4",IF(F43=0,"TBD","T5")))))</f>
        <v>T4</v>
      </c>
      <c r="F43" s="45" t="n">
        <v>7.9</v>
      </c>
      <c r="G43" s="46" t="n">
        <v>0.312</v>
      </c>
      <c r="H43" s="47" t="n">
        <v>0.033</v>
      </c>
      <c r="I43" s="46" t="n">
        <v>0.8712</v>
      </c>
      <c r="J43" s="46" t="n">
        <f aca="false" t="array" ref="J43:J43">O43/N43</f>
        <v>0.116321545170202</v>
      </c>
      <c r="K43" s="48" t="n">
        <f aca="false" t="array" ref="K43:K43">B43/O43</f>
        <v>3.53287536800785</v>
      </c>
      <c r="L43" s="48" t="n">
        <f aca="false" t="array" ref="L43:L43">B43/P43</f>
        <v>30.9810671256454</v>
      </c>
      <c r="M43" s="49" t="n">
        <f aca="false" t="array" ref="M43:M43">B43/Q43</f>
        <v>22.5563909774436</v>
      </c>
      <c r="N43" s="45" t="n">
        <v>43801</v>
      </c>
      <c r="O43" s="45" t="n">
        <v>5095</v>
      </c>
      <c r="P43" s="45" t="n">
        <v>581</v>
      </c>
      <c r="Q43" s="45" t="n">
        <v>798</v>
      </c>
      <c r="R43" s="46" t="n">
        <v>0.818</v>
      </c>
      <c r="S43" s="46" t="n">
        <v>0.042</v>
      </c>
      <c r="T43" s="46" t="n">
        <v>0.1661</v>
      </c>
      <c r="U43" s="44" t="s">
        <v>34</v>
      </c>
      <c r="V43" s="61"/>
      <c r="W43" s="45"/>
      <c r="X43" s="45"/>
      <c r="Y43" s="45"/>
      <c r="Z43" s="51"/>
      <c r="AA43" s="43" t="s">
        <v>89</v>
      </c>
    </row>
    <row r="44" customFormat="false" ht="18.9" hidden="false" customHeight="true" outlineLevel="0" collapsed="false">
      <c r="A44" s="44" t="s">
        <v>32</v>
      </c>
      <c r="B44" s="45" t="n">
        <v>18000</v>
      </c>
      <c r="C44" s="45" t="n">
        <v>10000</v>
      </c>
      <c r="D44" s="44" t="s">
        <v>33</v>
      </c>
      <c r="E44" s="45" t="str">
        <f aca="false" t="array" ref="E44:E44">IF(F44&gt;100,"T1",IF(F44&gt;50,"T2",IF(F44&gt;10,"T3",IF(F44&gt;1,"T4",IF(F44=0,"TBD","T5")))))</f>
        <v>T4</v>
      </c>
      <c r="F44" s="45" t="n">
        <v>2.9</v>
      </c>
      <c r="G44" s="46" t="n">
        <v>0.314</v>
      </c>
      <c r="H44" s="47" t="n">
        <v>0.037</v>
      </c>
      <c r="I44" s="46" t="n">
        <v>0.9099</v>
      </c>
      <c r="J44" s="46" t="n">
        <f aca="false" t="array" ref="J44:J44">O44/N44</f>
        <v>0.13745729986633</v>
      </c>
      <c r="K44" s="48" t="n">
        <f aca="false" t="array" ref="K44:K44">B44/O44</f>
        <v>3.24149108589951</v>
      </c>
      <c r="L44" s="48" t="n">
        <f aca="false" t="array" ref="L44:L44">B44/P44</f>
        <v>39.3873085339168</v>
      </c>
      <c r="M44" s="49" t="n">
        <f aca="false" t="array" ref="M44:M44">B44/Q44</f>
        <v>9.41915227629513</v>
      </c>
      <c r="N44" s="45" t="n">
        <v>40398</v>
      </c>
      <c r="O44" s="45" t="n">
        <v>5553</v>
      </c>
      <c r="P44" s="45" t="n">
        <v>457</v>
      </c>
      <c r="Q44" s="45" t="n">
        <v>1911</v>
      </c>
      <c r="R44" s="46" t="n">
        <v>0.838</v>
      </c>
      <c r="S44" s="46" t="n">
        <v>0.011</v>
      </c>
      <c r="T44" s="46" t="n">
        <v>0.4487</v>
      </c>
      <c r="U44" s="44" t="s">
        <v>34</v>
      </c>
      <c r="V44" s="61"/>
      <c r="W44" s="45"/>
      <c r="X44" s="45"/>
      <c r="Y44" s="45"/>
      <c r="Z44" s="51"/>
      <c r="AA44" s="43" t="s">
        <v>90</v>
      </c>
    </row>
    <row r="45" customFormat="false" ht="18.9" hidden="false" customHeight="true" outlineLevel="0" collapsed="false">
      <c r="A45" s="44" t="s">
        <v>32</v>
      </c>
      <c r="B45" s="45" t="n">
        <v>10000</v>
      </c>
      <c r="C45" s="45" t="n">
        <v>12000</v>
      </c>
      <c r="D45" s="44" t="s">
        <v>33</v>
      </c>
      <c r="E45" s="45" t="str">
        <f aca="false" t="array" ref="E45:E45">IF(F45&gt;100,"T1",IF(F45&gt;50,"T2",IF(F45&gt;10,"T3",IF(F45&gt;1,"T4",IF(F45=0,"TBD","T5")))))</f>
        <v>T3</v>
      </c>
      <c r="F45" s="45" t="n">
        <v>20.9</v>
      </c>
      <c r="G45" s="46" t="n">
        <v>0.325</v>
      </c>
      <c r="H45" s="47" t="n">
        <v>0.063</v>
      </c>
      <c r="I45" s="46" t="n">
        <v>0.8809</v>
      </c>
      <c r="J45" s="46" t="n">
        <f aca="false" t="array" ref="J45:J45">O45/N45</f>
        <v>0.300479452054795</v>
      </c>
      <c r="K45" s="48" t="n">
        <f aca="false" t="array" ref="K45:K45">C45/O45</f>
        <v>1.36767722817415</v>
      </c>
      <c r="L45" s="48" t="n">
        <f aca="false" t="array" ref="L45:L45">C45/P45</f>
        <v>5.78034682080925</v>
      </c>
      <c r="M45" s="49" t="n">
        <f aca="false" t="array" ref="M45:M45">C45/Q45</f>
        <v>13.0434782608696</v>
      </c>
      <c r="N45" s="49" t="n">
        <v>29200</v>
      </c>
      <c r="O45" s="45" t="n">
        <v>8774</v>
      </c>
      <c r="P45" s="49" t="n">
        <v>2076</v>
      </c>
      <c r="Q45" s="45" t="n">
        <v>920</v>
      </c>
      <c r="R45" s="46" t="n">
        <v>0.653</v>
      </c>
      <c r="S45" s="46" t="n">
        <v>0.088</v>
      </c>
      <c r="T45" s="44" t="s">
        <v>34</v>
      </c>
      <c r="U45" s="46" t="n">
        <v>0.3421</v>
      </c>
      <c r="V45" s="62" t="s">
        <v>39</v>
      </c>
      <c r="W45" s="44" t="s">
        <v>91</v>
      </c>
      <c r="X45" s="44" t="s">
        <v>92</v>
      </c>
      <c r="Y45" s="44" t="s">
        <v>93</v>
      </c>
      <c r="Z45" s="63" t="s">
        <v>94</v>
      </c>
      <c r="AA45" s="43" t="s">
        <v>95</v>
      </c>
    </row>
    <row r="46" customFormat="false" ht="18.9" hidden="false" customHeight="true" outlineLevel="0" collapsed="false">
      <c r="A46" s="44" t="s">
        <v>32</v>
      </c>
      <c r="B46" s="45" t="n">
        <v>15000</v>
      </c>
      <c r="C46" s="45" t="n">
        <v>28000</v>
      </c>
      <c r="D46" s="44" t="s">
        <v>36</v>
      </c>
      <c r="E46" s="45" t="str">
        <f aca="false" t="array" ref="E46:E46">IF(F46&gt;100,"T1",IF(F46&gt;50,"T2",IF(F46&gt;10,"T3",IF(F46&gt;1,"T4",IF(F46=0,"TBD","T5")))))</f>
        <v>T3</v>
      </c>
      <c r="F46" s="45" t="n">
        <v>14.7</v>
      </c>
      <c r="G46" s="46" t="n">
        <v>0.391</v>
      </c>
      <c r="H46" s="47" t="n">
        <v>0.047</v>
      </c>
      <c r="I46" s="46" t="n">
        <v>0.9299</v>
      </c>
      <c r="J46" s="46" t="n">
        <f aca="false" t="array" ref="J46:J46">O46/N46</f>
        <v>0.131032731138088</v>
      </c>
      <c r="K46" s="48" t="n">
        <f aca="false" t="array" ref="K46:K46">B46/O46</f>
        <v>0.538425643418644</v>
      </c>
      <c r="L46" s="48" t="n">
        <f aca="false" t="array" ref="L46:L46">B46/P46</f>
        <v>4.62820117247763</v>
      </c>
      <c r="M46" s="49" t="n">
        <f aca="false" t="array" ref="M46:M46">B46/Q46</f>
        <v>47.1698113207547</v>
      </c>
      <c r="N46" s="49" t="n">
        <v>212611</v>
      </c>
      <c r="O46" s="49" t="n">
        <v>27859</v>
      </c>
      <c r="P46" s="49" t="n">
        <v>3241</v>
      </c>
      <c r="Q46" s="45" t="n">
        <v>318</v>
      </c>
      <c r="R46" s="46" t="n">
        <v>0.953</v>
      </c>
      <c r="S46" s="46" t="n">
        <v>0.007</v>
      </c>
      <c r="T46" s="44" t="s">
        <v>34</v>
      </c>
      <c r="U46" s="46" t="n">
        <v>0.2724</v>
      </c>
      <c r="V46" s="61"/>
      <c r="W46" s="45"/>
      <c r="X46" s="45"/>
      <c r="Y46" s="45"/>
      <c r="Z46" s="51"/>
      <c r="AA46" s="43" t="s">
        <v>96</v>
      </c>
    </row>
    <row r="47" customFormat="false" ht="18.9" hidden="false" customHeight="true" outlineLevel="0" collapsed="false">
      <c r="A47" s="52" t="s">
        <v>32</v>
      </c>
      <c r="B47" s="53" t="n">
        <v>15000</v>
      </c>
      <c r="C47" s="53" t="n">
        <v>18000</v>
      </c>
      <c r="D47" s="52" t="s">
        <v>33</v>
      </c>
      <c r="E47" s="53" t="str">
        <f aca="false" t="array" ref="E47:E47">IF(F47&gt;100,"T1",IF(F47&gt;50,"T2",IF(F47&gt;10,"T3",IF(F47&gt;1,"T4",IF(F47=0,"TBD","T5")))))</f>
        <v>T4</v>
      </c>
      <c r="F47" s="53" t="n">
        <v>9.1</v>
      </c>
      <c r="G47" s="54" t="n">
        <v>0.235</v>
      </c>
      <c r="H47" s="55" t="n">
        <v>0.094</v>
      </c>
      <c r="I47" s="54" t="n">
        <v>0.9272</v>
      </c>
      <c r="J47" s="54" t="n">
        <f aca="false" t="array" ref="J47:J47">O47/N47</f>
        <v>0.182056749220928</v>
      </c>
      <c r="K47" s="56" t="n">
        <f aca="false" t="array" ref="K47:K47">B47/O47</f>
        <v>6.75675675675676</v>
      </c>
      <c r="L47" s="56" t="n">
        <f aca="false" t="array" ref="L47:L47">B47/P47</f>
        <v>9.33997509339975</v>
      </c>
      <c r="M47" s="57" t="n">
        <f aca="false" t="array" ref="M47:M47">B47/Q47</f>
        <v>1071.42857142857</v>
      </c>
      <c r="N47" s="57" t="n">
        <v>12194</v>
      </c>
      <c r="O47" s="57" t="n">
        <v>2220</v>
      </c>
      <c r="P47" s="53" t="n">
        <v>1606</v>
      </c>
      <c r="Q47" s="53" t="n">
        <v>14</v>
      </c>
      <c r="R47" s="54" t="n">
        <v>0.84</v>
      </c>
      <c r="S47" s="54" t="n">
        <v>0.024</v>
      </c>
      <c r="T47" s="54"/>
      <c r="U47" s="54"/>
      <c r="V47" s="64"/>
      <c r="W47" s="53"/>
      <c r="X47" s="53"/>
      <c r="Y47" s="53"/>
      <c r="Z47" s="59"/>
      <c r="AA47" s="43" t="s">
        <v>97</v>
      </c>
    </row>
    <row r="48" customFormat="false" ht="18.9" hidden="false" customHeight="true" outlineLevel="0" collapsed="false">
      <c r="A48" s="65"/>
      <c r="B48" s="65"/>
      <c r="C48" s="65"/>
      <c r="D48" s="65"/>
      <c r="E48" s="65"/>
      <c r="F48" s="65"/>
      <c r="G48" s="66"/>
      <c r="H48" s="67"/>
      <c r="I48" s="66"/>
      <c r="J48" s="66"/>
      <c r="K48" s="68"/>
      <c r="L48" s="68"/>
      <c r="M48" s="69"/>
      <c r="N48" s="65"/>
      <c r="O48" s="65"/>
      <c r="P48" s="65"/>
      <c r="Q48" s="65"/>
      <c r="R48" s="66"/>
      <c r="S48" s="66"/>
      <c r="T48" s="66"/>
      <c r="U48" s="66"/>
      <c r="V48" s="70"/>
      <c r="W48" s="33"/>
      <c r="X48" s="33"/>
      <c r="Y48" s="33"/>
      <c r="Z48" s="33"/>
      <c r="AA48" s="34"/>
    </row>
    <row r="49" customFormat="false" ht="18.75" hidden="false" customHeight="true" outlineLevel="0" collapsed="false">
      <c r="A49" s="35" t="s">
        <v>32</v>
      </c>
      <c r="B49" s="36" t="n">
        <v>11000</v>
      </c>
      <c r="C49" s="36" t="n">
        <v>13900</v>
      </c>
      <c r="D49" s="35" t="s">
        <v>33</v>
      </c>
      <c r="E49" s="36" t="str">
        <f aca="false" t="array" ref="E49:E49">IF(F49&gt;100,"T1",IF(F49&gt;50,"T2",IF(F49&gt;10,"T3",IF(F49&gt;1,"T4",IF(F49=0,"TBD","T5")))))</f>
        <v>T3</v>
      </c>
      <c r="F49" s="36" t="n">
        <v>10.4</v>
      </c>
      <c r="G49" s="37" t="n">
        <v>0.678</v>
      </c>
      <c r="H49" s="37" t="n">
        <v>0.021</v>
      </c>
      <c r="I49" s="37" t="n">
        <v>0.9317</v>
      </c>
      <c r="J49" s="37" t="n">
        <f aca="false" t="array" ref="J49:J49">O49/N49</f>
        <v>0.262687488599851</v>
      </c>
      <c r="K49" s="39" t="n">
        <f aca="false" t="array" ref="K49:K49">B49/O49</f>
        <v>0.293772032902468</v>
      </c>
      <c r="L49" s="39" t="n">
        <f aca="false" t="array" ref="L49:L49">B49/P49</f>
        <v>3.27868852459016</v>
      </c>
      <c r="M49" s="40" t="n">
        <f aca="false" t="array" ref="M49:M49">B49/Q49</f>
        <v>83.3333333333333</v>
      </c>
      <c r="N49" s="36" t="n">
        <v>142542</v>
      </c>
      <c r="O49" s="36" t="n">
        <v>37444</v>
      </c>
      <c r="P49" s="36" t="n">
        <v>3355</v>
      </c>
      <c r="Q49" s="36" t="n">
        <v>132</v>
      </c>
      <c r="R49" s="37" t="n">
        <v>0.883</v>
      </c>
      <c r="S49" s="37" t="n">
        <v>0.004</v>
      </c>
      <c r="T49" s="37" t="n">
        <v>0.4405</v>
      </c>
      <c r="U49" s="35" t="s">
        <v>34</v>
      </c>
      <c r="V49" s="60"/>
      <c r="W49" s="36"/>
      <c r="X49" s="36"/>
      <c r="Y49" s="36"/>
      <c r="Z49" s="42"/>
      <c r="AA49" s="43" t="s">
        <v>98</v>
      </c>
    </row>
    <row r="50" customFormat="false" ht="18.75" hidden="false" customHeight="true" outlineLevel="0" collapsed="false">
      <c r="A50" s="44" t="s">
        <v>32</v>
      </c>
      <c r="B50" s="45" t="n">
        <v>3900</v>
      </c>
      <c r="C50" s="44" t="s">
        <v>38</v>
      </c>
      <c r="D50" s="44" t="s">
        <v>33</v>
      </c>
      <c r="E50" s="44" t="s">
        <v>99</v>
      </c>
      <c r="F50" s="45" t="n">
        <v>1</v>
      </c>
      <c r="G50" s="46" t="n">
        <v>0.573</v>
      </c>
      <c r="H50" s="46" t="n">
        <v>0.031</v>
      </c>
      <c r="I50" s="46" t="n">
        <v>0.9654</v>
      </c>
      <c r="J50" s="46" t="n">
        <f aca="false" t="array" ref="J50:J50">O50/N50</f>
        <v>0.141389027018067</v>
      </c>
      <c r="K50" s="48" t="n">
        <f aca="false" t="array" ref="K50:K50">B50/O50</f>
        <v>1.14302461899179</v>
      </c>
      <c r="L50" s="48" t="n">
        <f aca="false" t="array" ref="L50:L50">B50/P50</f>
        <v>10.655737704918</v>
      </c>
      <c r="M50" s="49" t="n">
        <f aca="false" t="array" ref="M50:M50">B50/Q50</f>
        <v>22.9411764705882</v>
      </c>
      <c r="N50" s="45" t="n">
        <v>24132</v>
      </c>
      <c r="O50" s="45" t="n">
        <v>3412</v>
      </c>
      <c r="P50" s="45" t="n">
        <v>366</v>
      </c>
      <c r="Q50" s="45" t="n">
        <v>170</v>
      </c>
      <c r="R50" s="46" t="n">
        <v>0.536</v>
      </c>
      <c r="S50" s="46" t="n">
        <v>0.445</v>
      </c>
      <c r="T50" s="44" t="s">
        <v>34</v>
      </c>
      <c r="U50" s="44" t="s">
        <v>34</v>
      </c>
      <c r="V50" s="50"/>
      <c r="W50" s="45"/>
      <c r="X50" s="45"/>
      <c r="Y50" s="45"/>
      <c r="Z50" s="51"/>
      <c r="AA50" s="43" t="s">
        <v>100</v>
      </c>
    </row>
    <row r="51" customFormat="false" ht="18.75" hidden="false" customHeight="true" outlineLevel="0" collapsed="false">
      <c r="A51" s="44" t="s">
        <v>32</v>
      </c>
      <c r="B51" s="45" t="n">
        <v>2000</v>
      </c>
      <c r="C51" s="44" t="s">
        <v>38</v>
      </c>
      <c r="D51" s="44" t="s">
        <v>33</v>
      </c>
      <c r="E51" s="45" t="str">
        <f aca="false" t="array" ref="E51:E51">IF(F51&gt;100,"T1",IF(F51&gt;50,"T2",IF(F51&gt;10,"T3",IF(F51&gt;1,"T4",IF(F51=0,"TBD","T5")))))</f>
        <v>T4</v>
      </c>
      <c r="F51" s="45" t="n">
        <v>2</v>
      </c>
      <c r="G51" s="46" t="n">
        <v>0.5</v>
      </c>
      <c r="H51" s="46" t="n">
        <v>0.05</v>
      </c>
      <c r="I51" s="46" t="n">
        <v>0.9377</v>
      </c>
      <c r="J51" s="46" t="n">
        <f aca="false" t="array" ref="J51:J51">O51/N51</f>
        <v>0.0981389280864773</v>
      </c>
      <c r="K51" s="48" t="n">
        <f aca="false" t="array" ref="K51:K51">B51/O51</f>
        <v>0.542593597395551</v>
      </c>
      <c r="L51" s="48" t="n">
        <f aca="false" t="array" ref="L51:L51">B51/P51</f>
        <v>5.26315789473684</v>
      </c>
      <c r="M51" s="49" t="n">
        <f aca="false" t="array" ref="M51:M51">B51/Q51</f>
        <v>8.09716599190283</v>
      </c>
      <c r="N51" s="45" t="n">
        <v>37559</v>
      </c>
      <c r="O51" s="45" t="n">
        <v>3686</v>
      </c>
      <c r="P51" s="45" t="n">
        <v>380</v>
      </c>
      <c r="Q51" s="45" t="n">
        <v>247</v>
      </c>
      <c r="R51" s="46" t="n">
        <v>0.906</v>
      </c>
      <c r="S51" s="46" t="n">
        <v>0.062</v>
      </c>
      <c r="T51" s="46" t="n">
        <v>0.5921</v>
      </c>
      <c r="U51" s="44" t="s">
        <v>34</v>
      </c>
      <c r="V51" s="50"/>
      <c r="W51" s="45"/>
      <c r="X51" s="45"/>
      <c r="Y51" s="45"/>
      <c r="Z51" s="51"/>
      <c r="AA51" s="43" t="s">
        <v>101</v>
      </c>
    </row>
    <row r="52" customFormat="false" ht="18.75" hidden="false" customHeight="true" outlineLevel="0" collapsed="false">
      <c r="A52" s="44" t="s">
        <v>32</v>
      </c>
      <c r="B52" s="45" t="n">
        <v>5000</v>
      </c>
      <c r="C52" s="45" t="n">
        <v>7000</v>
      </c>
      <c r="D52" s="44" t="s">
        <v>36</v>
      </c>
      <c r="E52" s="45" t="str">
        <f aca="false" t="array" ref="E52:E52">IF(F52&gt;100,"T1",IF(F52&gt;50,"T2",IF(F52&gt;10,"T3",IF(F52&gt;1,"T4",IF(F52=0,"TBD","T5")))))</f>
        <v>T4</v>
      </c>
      <c r="F52" s="45" t="n">
        <v>6.8</v>
      </c>
      <c r="G52" s="46" t="n">
        <v>0.563</v>
      </c>
      <c r="H52" s="46" t="n">
        <v>0.027</v>
      </c>
      <c r="I52" s="46" t="n">
        <v>0.7974</v>
      </c>
      <c r="J52" s="46" t="n">
        <f aca="false" t="array" ref="J52:J52">O52/N52</f>
        <v>0.158927479212471</v>
      </c>
      <c r="K52" s="48" t="n">
        <f aca="false" t="array" ref="K52:K52">B52/O52</f>
        <v>0.520074890784273</v>
      </c>
      <c r="L52" s="48" t="n">
        <f aca="false" t="array" ref="L52:L52">B52/P52</f>
        <v>11.3895216400911</v>
      </c>
      <c r="M52" s="49" t="n">
        <f aca="false" t="array" ref="M52:M52">C52/Q52</f>
        <v>20.5278592375367</v>
      </c>
      <c r="N52" s="49" t="n">
        <v>60493</v>
      </c>
      <c r="O52" s="49" t="n">
        <v>9614</v>
      </c>
      <c r="P52" s="49" t="n">
        <v>439</v>
      </c>
      <c r="Q52" s="49" t="n">
        <v>341</v>
      </c>
      <c r="R52" s="46" t="n">
        <v>0.394</v>
      </c>
      <c r="S52" s="46" t="n">
        <v>0.015</v>
      </c>
      <c r="T52" s="44" t="s">
        <v>34</v>
      </c>
      <c r="U52" s="44" t="s">
        <v>34</v>
      </c>
      <c r="V52" s="50"/>
      <c r="W52" s="45"/>
      <c r="X52" s="45"/>
      <c r="Y52" s="45"/>
      <c r="Z52" s="51"/>
      <c r="AA52" s="43" t="s">
        <v>102</v>
      </c>
    </row>
    <row r="53" customFormat="false" ht="18.75" hidden="false" customHeight="true" outlineLevel="0" collapsed="false">
      <c r="A53" s="44" t="s">
        <v>32</v>
      </c>
      <c r="B53" s="45" t="n">
        <v>5800</v>
      </c>
      <c r="C53" s="45" t="n">
        <v>12000</v>
      </c>
      <c r="D53" s="44" t="s">
        <v>36</v>
      </c>
      <c r="E53" s="45" t="str">
        <f aca="false" t="array" ref="E53:E53">IF(F53&gt;100,"T1",IF(F53&gt;50,"T2",IF(F53&gt;10,"T3",IF(F53&gt;1,"T4",IF(F53=0,"TBD","T5")))))</f>
        <v>T3</v>
      </c>
      <c r="F53" s="45" t="n">
        <v>11</v>
      </c>
      <c r="G53" s="46" t="n">
        <v>0.742</v>
      </c>
      <c r="H53" s="46" t="n">
        <v>0.024</v>
      </c>
      <c r="I53" s="46" t="n">
        <v>0.9392</v>
      </c>
      <c r="J53" s="46" t="n">
        <f aca="false" t="array" ref="J53:J53">O53/N53</f>
        <v>0.141700898848985</v>
      </c>
      <c r="K53" s="48" t="n">
        <f aca="false" t="array" ref="K53:K53">B53/O53</f>
        <v>1.66475315729047</v>
      </c>
      <c r="L53" s="48" t="n">
        <f aca="false" t="array" ref="L53:L53">B53/P53</f>
        <v>13.6470588235294</v>
      </c>
      <c r="M53" s="49" t="n">
        <f aca="false" t="array" ref="M53:M53">C53/Q53</f>
        <v>43.6363636363636</v>
      </c>
      <c r="N53" s="49" t="n">
        <v>24587</v>
      </c>
      <c r="O53" s="49" t="n">
        <v>3484</v>
      </c>
      <c r="P53" s="49" t="n">
        <v>425</v>
      </c>
      <c r="Q53" s="49" t="n">
        <v>275</v>
      </c>
      <c r="R53" s="46" t="n">
        <v>0.193</v>
      </c>
      <c r="S53" s="46" t="n">
        <v>0.012</v>
      </c>
      <c r="T53" s="44" t="s">
        <v>34</v>
      </c>
      <c r="U53" s="44" t="s">
        <v>34</v>
      </c>
      <c r="V53" s="50"/>
      <c r="W53" s="45"/>
      <c r="X53" s="45"/>
      <c r="Y53" s="45"/>
      <c r="Z53" s="51"/>
      <c r="AA53" s="43" t="s">
        <v>89</v>
      </c>
    </row>
    <row r="54" customFormat="false" ht="18.75" hidden="false" customHeight="true" outlineLevel="0" collapsed="false">
      <c r="A54" s="44" t="s">
        <v>32</v>
      </c>
      <c r="B54" s="45" t="n">
        <v>10000</v>
      </c>
      <c r="C54" s="45" t="n">
        <v>14000</v>
      </c>
      <c r="D54" s="44" t="s">
        <v>36</v>
      </c>
      <c r="E54" s="45" t="str">
        <f aca="false" t="array" ref="E54:E54">IF(F54&gt;100,"T1",IF(F54&gt;50,"T2",IF(F54&gt;10,"T3",IF(F54&gt;1,"T4",IF(F54=0,"TBD","T5")))))</f>
        <v>T4</v>
      </c>
      <c r="F54" s="45" t="n">
        <v>7.6</v>
      </c>
      <c r="G54" s="46" t="n">
        <v>0.49</v>
      </c>
      <c r="H54" s="46" t="n">
        <v>0.045</v>
      </c>
      <c r="I54" s="46" t="n">
        <v>0.8839</v>
      </c>
      <c r="J54" s="46" t="n">
        <f aca="false" t="array" ref="J54:J54">O54/N54</f>
        <v>0.21065002600104</v>
      </c>
      <c r="K54" s="48" t="n">
        <f aca="false" t="array" ref="K54:K54">B54/O54</f>
        <v>0.987459267305224</v>
      </c>
      <c r="L54" s="48" t="n">
        <f aca="false" t="array" ref="L54:L54">B54/P54</f>
        <v>19.4931773879142</v>
      </c>
      <c r="M54" s="49" t="e">
        <f aca="false" t="array" ref="M54:M54">C54/Q54</f>
        <v>#VALUE!</v>
      </c>
      <c r="N54" s="49" t="n">
        <v>48075</v>
      </c>
      <c r="O54" s="49" t="n">
        <v>10127</v>
      </c>
      <c r="P54" s="49" t="n">
        <v>513</v>
      </c>
      <c r="Q54" s="44" t="s">
        <v>34</v>
      </c>
      <c r="R54" s="46" t="n">
        <v>0.69</v>
      </c>
      <c r="S54" s="46" t="n">
        <v>0.029</v>
      </c>
      <c r="T54" s="44" t="s">
        <v>34</v>
      </c>
      <c r="U54" s="46" t="n">
        <v>0.4749</v>
      </c>
      <c r="V54" s="50"/>
      <c r="W54" s="45"/>
      <c r="X54" s="45"/>
      <c r="Y54" s="45"/>
      <c r="Z54" s="51"/>
      <c r="AA54" s="43" t="s">
        <v>102</v>
      </c>
    </row>
    <row r="55" customFormat="false" ht="18.75" hidden="false" customHeight="true" outlineLevel="0" collapsed="false">
      <c r="A55" s="44" t="s">
        <v>32</v>
      </c>
      <c r="B55" s="45" t="n">
        <v>120000</v>
      </c>
      <c r="C55" s="45" t="n">
        <v>100000</v>
      </c>
      <c r="D55" s="44" t="s">
        <v>36</v>
      </c>
      <c r="E55" s="45" t="str">
        <f aca="false" t="array" ref="E55:E55">IF(F55&gt;100,"T1",IF(F55&gt;50,"T2",IF(F55&gt;10,"T3",IF(F55&gt;1,"T4",IF(F55=0,"TBD","T5")))))</f>
        <v>T1</v>
      </c>
      <c r="F55" s="45" t="n">
        <v>114.9</v>
      </c>
      <c r="G55" s="46" t="n">
        <v>0.452</v>
      </c>
      <c r="H55" s="46" t="n">
        <v>0.067</v>
      </c>
      <c r="I55" s="46" t="n">
        <v>0.9785</v>
      </c>
      <c r="J55" s="46" t="n">
        <f aca="false" t="array" ref="J55:J55">O55/N55</f>
        <v>0.105411160763485</v>
      </c>
      <c r="K55" s="48" t="n">
        <f aca="false" t="array" ref="K55:K55">B55/O55</f>
        <v>2.02354052139894</v>
      </c>
      <c r="L55" s="48" t="n">
        <f aca="false" t="array" ref="L55:L55">B55/P55</f>
        <v>26.8036631672995</v>
      </c>
      <c r="M55" s="49" t="n">
        <f aca="false" t="array" ref="M55:M55">C55/Q55</f>
        <v>103.199174406605</v>
      </c>
      <c r="N55" s="49" t="n">
        <v>562578</v>
      </c>
      <c r="O55" s="49" t="n">
        <v>59302</v>
      </c>
      <c r="P55" s="49" t="n">
        <v>4477</v>
      </c>
      <c r="Q55" s="45" t="n">
        <v>969</v>
      </c>
      <c r="R55" s="46" t="n">
        <v>0.947</v>
      </c>
      <c r="S55" s="46" t="n">
        <v>0.002</v>
      </c>
      <c r="T55" s="44" t="s">
        <v>34</v>
      </c>
      <c r="U55" s="71" t="n">
        <v>2.26</v>
      </c>
      <c r="V55" s="50"/>
      <c r="W55" s="45"/>
      <c r="X55" s="45"/>
      <c r="Y55" s="45"/>
      <c r="Z55" s="51"/>
      <c r="AA55" s="43" t="s">
        <v>103</v>
      </c>
    </row>
    <row r="56" customFormat="false" ht="18.75" hidden="false" customHeight="true" outlineLevel="0" collapsed="false">
      <c r="A56" s="44" t="s">
        <v>32</v>
      </c>
      <c r="B56" s="45" t="n">
        <v>29000</v>
      </c>
      <c r="C56" s="45" t="n">
        <v>45000</v>
      </c>
      <c r="D56" s="44" t="s">
        <v>33</v>
      </c>
      <c r="E56" s="45" t="str">
        <f aca="false" t="array" ref="E56:E56">IF(F56&gt;100,"T1",IF(F56&gt;50,"T2",IF(F56&gt;10,"T3",IF(F56&gt;1,"T4",IF(F56=0,"TBD","T5")))))</f>
        <v>T1</v>
      </c>
      <c r="F56" s="45" t="n">
        <v>112.9</v>
      </c>
      <c r="G56" s="46" t="n">
        <v>0.302</v>
      </c>
      <c r="H56" s="46" t="n">
        <v>0.16</v>
      </c>
      <c r="I56" s="46" t="n">
        <v>0.971</v>
      </c>
      <c r="J56" s="46" t="n">
        <f aca="false" t="array" ref="J56:J56">O56/N56</f>
        <v>0.094867708578569</v>
      </c>
      <c r="K56" s="48" t="n">
        <f aca="false" t="array" ref="K56:K56">B56/O56</f>
        <v>1.38398396487544</v>
      </c>
      <c r="L56" s="48" t="n">
        <f aca="false" t="array" ref="L56:L56">B56/P56</f>
        <v>19.0664036817883</v>
      </c>
      <c r="M56" s="49" t="n">
        <f aca="false" t="array" ref="M56:M56">C56/Q56</f>
        <v>28.3553875236295</v>
      </c>
      <c r="N56" s="49" t="n">
        <v>220876</v>
      </c>
      <c r="O56" s="49" t="n">
        <v>20954</v>
      </c>
      <c r="P56" s="49" t="n">
        <v>1521</v>
      </c>
      <c r="Q56" s="49" t="n">
        <v>1587</v>
      </c>
      <c r="R56" s="46" t="n">
        <v>0.648</v>
      </c>
      <c r="S56" s="46" t="n">
        <v>0.108</v>
      </c>
      <c r="T56" s="44" t="s">
        <v>34</v>
      </c>
      <c r="U56" s="44" t="s">
        <v>34</v>
      </c>
      <c r="V56" s="50"/>
      <c r="W56" s="45"/>
      <c r="X56" s="45"/>
      <c r="Y56" s="45"/>
      <c r="Z56" s="51"/>
      <c r="AA56" s="43" t="s">
        <v>104</v>
      </c>
    </row>
    <row r="57" customFormat="false" ht="18.75" hidden="false" customHeight="true" outlineLevel="0" collapsed="false">
      <c r="A57" s="72" t="s">
        <v>32</v>
      </c>
      <c r="B57" s="73" t="n">
        <v>20000</v>
      </c>
      <c r="C57" s="73" t="n">
        <v>20000</v>
      </c>
      <c r="D57" s="72" t="s">
        <v>36</v>
      </c>
      <c r="E57" s="73" t="str">
        <f aca="false" t="array" ref="E57:E57">IF(F57&gt;100,"T1",IF(F57&gt;50,"T2",IF(F57&gt;10,"T3",IF(F57&gt;1,"T4",IF(F57=0,"TBD","T5")))))</f>
        <v>T4</v>
      </c>
      <c r="F57" s="73" t="n">
        <v>4.9</v>
      </c>
      <c r="G57" s="74" t="n">
        <v>0.433</v>
      </c>
      <c r="H57" s="74" t="n">
        <v>0.038</v>
      </c>
      <c r="I57" s="74" t="n">
        <v>0.9154</v>
      </c>
      <c r="J57" s="74" t="n">
        <f aca="false" t="array" ref="J57:J57">O57/N57</f>
        <v>0.67818534602236</v>
      </c>
      <c r="K57" s="75" t="n">
        <f aca="false" t="array" ref="K57:K57">B57/O57</f>
        <v>0.272479564032698</v>
      </c>
      <c r="L57" s="75" t="n">
        <f aca="false" t="array" ref="L57:L57">B57/P57</f>
        <v>5.52944429084877</v>
      </c>
      <c r="M57" s="76" t="e">
        <f aca="false" t="array" ref="M57:M57">C57/Q57</f>
        <v>#VALUE!</v>
      </c>
      <c r="N57" s="76" t="n">
        <v>108230</v>
      </c>
      <c r="O57" s="76" t="n">
        <v>73400</v>
      </c>
      <c r="P57" s="73" t="n">
        <v>3617</v>
      </c>
      <c r="Q57" s="72" t="s">
        <v>34</v>
      </c>
      <c r="R57" s="74" t="n">
        <v>0.875</v>
      </c>
      <c r="S57" s="74" t="n">
        <v>0.005</v>
      </c>
      <c r="T57" s="72" t="s">
        <v>34</v>
      </c>
      <c r="U57" s="72" t="s">
        <v>34</v>
      </c>
      <c r="V57" s="77"/>
      <c r="W57" s="73"/>
      <c r="X57" s="73"/>
      <c r="Y57" s="73"/>
      <c r="Z57" s="78"/>
      <c r="AA57" s="79" t="s">
        <v>105</v>
      </c>
    </row>
    <row r="58" customFormat="false" ht="18.75" hidden="false" customHeight="true" outlineLevel="0" collapsed="false">
      <c r="A58" s="44" t="s">
        <v>32</v>
      </c>
      <c r="B58" s="45" t="n">
        <v>40000</v>
      </c>
      <c r="C58" s="45" t="n">
        <v>40000</v>
      </c>
      <c r="D58" s="44" t="s">
        <v>36</v>
      </c>
      <c r="E58" s="45" t="str">
        <f aca="false" t="array" ref="E58:E58">IF(F58&gt;100,"T1",IF(F58&gt;50,"T2",IF(F58&gt;10,"T3",IF(F58&gt;1,"T4",IF(F58=0,"TBD","T5")))))</f>
        <v>T2</v>
      </c>
      <c r="F58" s="45" t="n">
        <v>68.4</v>
      </c>
      <c r="G58" s="46" t="n">
        <v>0.614</v>
      </c>
      <c r="H58" s="46" t="n">
        <v>0.027</v>
      </c>
      <c r="I58" s="46" t="n">
        <v>0.9649</v>
      </c>
      <c r="J58" s="46" t="n">
        <f aca="false" t="array" ref="J58:J58">O58/N58</f>
        <v>0.11021312155584</v>
      </c>
      <c r="K58" s="48" t="n">
        <f aca="false" t="array" ref="K58:K58">B58/O58</f>
        <v>2.12089077412513</v>
      </c>
      <c r="L58" s="48" t="n">
        <f aca="false" t="array" ref="L58:L58">B58/P58</f>
        <v>17.0721297481861</v>
      </c>
      <c r="M58" s="49" t="n">
        <f aca="false" t="array" ref="M58:M58">C58/Q58</f>
        <v>165.289256198347</v>
      </c>
      <c r="N58" s="49" t="n">
        <v>171123</v>
      </c>
      <c r="O58" s="49" t="n">
        <v>18860</v>
      </c>
      <c r="P58" s="49" t="n">
        <v>2343</v>
      </c>
      <c r="Q58" s="45" t="n">
        <v>242</v>
      </c>
      <c r="R58" s="46" t="n">
        <v>0.773</v>
      </c>
      <c r="S58" s="46" t="n">
        <v>0.012</v>
      </c>
      <c r="T58" s="44" t="s">
        <v>34</v>
      </c>
      <c r="U58" s="71" t="n">
        <v>2.86</v>
      </c>
      <c r="V58" s="50"/>
      <c r="W58" s="45"/>
      <c r="X58" s="45"/>
      <c r="Y58" s="45"/>
      <c r="Z58" s="51"/>
      <c r="AA58" s="43" t="s">
        <v>106</v>
      </c>
    </row>
    <row r="59" customFormat="false" ht="18.75" hidden="false" customHeight="true" outlineLevel="0" collapsed="false">
      <c r="A59" s="44" t="s">
        <v>32</v>
      </c>
      <c r="B59" s="45" t="n">
        <v>250000</v>
      </c>
      <c r="C59" s="45" t="n">
        <v>300000</v>
      </c>
      <c r="D59" s="44" t="s">
        <v>36</v>
      </c>
      <c r="E59" s="45" t="str">
        <f aca="false" t="array" ref="E59:E59">IF(F59&gt;100,"T1",IF(F59&gt;50,"T2",IF(F59&gt;10,"T3",IF(F59&gt;1,"T4",IF(F59=0,"TBD","T5")))))</f>
        <v>T1</v>
      </c>
      <c r="F59" s="45" t="n">
        <v>496</v>
      </c>
      <c r="G59" s="46" t="n">
        <v>0.363</v>
      </c>
      <c r="H59" s="46" t="n">
        <v>0.088</v>
      </c>
      <c r="I59" s="46" t="n">
        <v>0.934</v>
      </c>
      <c r="J59" s="46" t="n">
        <f aca="false" t="array" ref="J59:J59">O59/N59</f>
        <v>0.277986199543244</v>
      </c>
      <c r="K59" s="48" t="n">
        <f aca="false" t="array" ref="K59:K59">B59/O59</f>
        <v>0.261705018664802</v>
      </c>
      <c r="L59" s="48" t="n">
        <f aca="false" t="array" ref="L59:L59">B59/P59</f>
        <v>2.08359378255615</v>
      </c>
      <c r="M59" s="49" t="n">
        <f aca="false" t="array" ref="M59:M59">C59/Q59</f>
        <v>340.136054421769</v>
      </c>
      <c r="N59" s="49" t="n">
        <v>3436408</v>
      </c>
      <c r="O59" s="49" t="n">
        <v>955274</v>
      </c>
      <c r="P59" s="49" t="n">
        <v>119985</v>
      </c>
      <c r="Q59" s="45" t="n">
        <v>882</v>
      </c>
      <c r="R59" s="46" t="n">
        <v>0.882</v>
      </c>
      <c r="S59" s="46" t="n">
        <v>0.005</v>
      </c>
      <c r="T59" s="44" t="s">
        <v>34</v>
      </c>
      <c r="U59" s="71" t="n">
        <v>1.69</v>
      </c>
      <c r="V59" s="50"/>
      <c r="W59" s="45"/>
      <c r="X59" s="45"/>
      <c r="Y59" s="45"/>
      <c r="Z59" s="51"/>
      <c r="AA59" s="43" t="s">
        <v>107</v>
      </c>
    </row>
    <row r="60" customFormat="false" ht="18.75" hidden="false" customHeight="true" outlineLevel="0" collapsed="false">
      <c r="A60" s="52" t="s">
        <v>32</v>
      </c>
      <c r="B60" s="53" t="n">
        <v>80000</v>
      </c>
      <c r="C60" s="53" t="n">
        <v>180000</v>
      </c>
      <c r="D60" s="52" t="s">
        <v>36</v>
      </c>
      <c r="E60" s="53" t="str">
        <f aca="false" t="array" ref="E60:E60">IF(F60&gt;100,"T1",IF(F60&gt;50,"T2",IF(F60&gt;10,"T3",IF(F60&gt;1,"T4",IF(F60=0,"TBD","T5")))))</f>
        <v>T1</v>
      </c>
      <c r="F60" s="53" t="n">
        <v>241.5</v>
      </c>
      <c r="G60" s="54" t="n">
        <v>0.237</v>
      </c>
      <c r="H60" s="54" t="n">
        <v>0.162</v>
      </c>
      <c r="I60" s="54" t="n">
        <v>0.9561</v>
      </c>
      <c r="J60" s="54" t="n">
        <f aca="false" t="array" ref="J60:J60">O60/N60</f>
        <v>0.231974578964093</v>
      </c>
      <c r="K60" s="56" t="n">
        <f aca="false" t="array" ref="K60:K60">B60/O60</f>
        <v>0.876683506295684</v>
      </c>
      <c r="L60" s="56" t="n">
        <f aca="false" t="array" ref="L60:L60">C60/P60</f>
        <v>19.53125</v>
      </c>
      <c r="M60" s="57" t="n">
        <f aca="false" t="array" ref="M60:M60">C60/Q60</f>
        <v>54.364240410752</v>
      </c>
      <c r="N60" s="57" t="n">
        <v>393375</v>
      </c>
      <c r="O60" s="57" t="n">
        <v>91253</v>
      </c>
      <c r="P60" s="57" t="n">
        <v>9216</v>
      </c>
      <c r="Q60" s="57" t="n">
        <v>3311</v>
      </c>
      <c r="R60" s="54" t="n">
        <v>0.916</v>
      </c>
      <c r="S60" s="54" t="n">
        <v>0.003</v>
      </c>
      <c r="T60" s="52" t="s">
        <v>34</v>
      </c>
      <c r="U60" s="80" t="n">
        <v>2.61</v>
      </c>
      <c r="V60" s="58"/>
      <c r="W60" s="53"/>
      <c r="X60" s="53"/>
      <c r="Y60" s="53"/>
      <c r="Z60" s="59"/>
      <c r="AA60" s="43" t="s">
        <v>108</v>
      </c>
    </row>
    <row r="61" customFormat="false" ht="17.4" hidden="false" customHeight="tru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4"/>
      <c r="W61" s="33"/>
      <c r="X61" s="33"/>
      <c r="Y61" s="33"/>
      <c r="Z61" s="33"/>
      <c r="AA61" s="34"/>
    </row>
    <row r="62" customFormat="false" ht="18.9" hidden="false" customHeight="true" outlineLevel="0" collapsed="false">
      <c r="A62" s="35" t="s">
        <v>32</v>
      </c>
      <c r="B62" s="36" t="n">
        <v>2500</v>
      </c>
      <c r="C62" s="36" t="n">
        <v>3800</v>
      </c>
      <c r="D62" s="35" t="s">
        <v>33</v>
      </c>
      <c r="E62" s="36" t="str">
        <f aca="false" t="array" ref="E62:E62">IF(F62&gt;100,"T1",IF(F62&gt;50,"T2",IF(F62&gt;10,"T3",IF(F62&gt;1,"T4",IF(F62=0,"TBD","T5")))))</f>
        <v>T4</v>
      </c>
      <c r="F62" s="36" t="n">
        <v>2.6</v>
      </c>
      <c r="G62" s="37" t="n">
        <v>0.677</v>
      </c>
      <c r="H62" s="37" t="n">
        <v>0.023</v>
      </c>
      <c r="I62" s="37" t="n">
        <v>0.9788</v>
      </c>
      <c r="J62" s="37" t="n">
        <f aca="false" t="array" ref="J62:J62">O62/N62</f>
        <v>0.184995124955098</v>
      </c>
      <c r="K62" s="39" t="n">
        <f aca="false" t="array" ref="K62:K62">C62/O62</f>
        <v>0.175681923254739</v>
      </c>
      <c r="L62" s="39" t="n">
        <f aca="false" t="array" ref="L62:L62">C62/P62</f>
        <v>0.854893138357705</v>
      </c>
      <c r="M62" s="40" t="n">
        <f aca="false" t="array" ref="M62:M62">C62/Q62</f>
        <v>14.6153846153846</v>
      </c>
      <c r="N62" s="40" t="n">
        <v>116922</v>
      </c>
      <c r="O62" s="40" t="n">
        <v>21630</v>
      </c>
      <c r="P62" s="40" t="n">
        <v>4445</v>
      </c>
      <c r="Q62" s="36" t="n">
        <v>260</v>
      </c>
      <c r="R62" s="37" t="n">
        <v>0.563</v>
      </c>
      <c r="S62" s="37" t="n">
        <v>0.328</v>
      </c>
      <c r="T62" s="35" t="s">
        <v>34</v>
      </c>
      <c r="U62" s="35" t="s">
        <v>34</v>
      </c>
      <c r="V62" s="41"/>
      <c r="W62" s="36"/>
      <c r="X62" s="36"/>
      <c r="Y62" s="36"/>
      <c r="Z62" s="42"/>
      <c r="AA62" s="43" t="s">
        <v>109</v>
      </c>
    </row>
    <row r="63" customFormat="false" ht="18.9" hidden="false" customHeight="true" outlineLevel="0" collapsed="false">
      <c r="A63" s="44" t="s">
        <v>32</v>
      </c>
      <c r="B63" s="45" t="n">
        <v>59000</v>
      </c>
      <c r="C63" s="45" t="n">
        <v>84000</v>
      </c>
      <c r="D63" s="44" t="s">
        <v>36</v>
      </c>
      <c r="E63" s="45" t="str">
        <f aca="false" t="array" ref="E63:E63">IF(F63&gt;100,"T1",IF(F63&gt;50,"T2",IF(F63&gt;10,"T3",IF(F63&gt;1,"T4",IF(F63=0,"TBD","T5")))))</f>
        <v>T2</v>
      </c>
      <c r="F63" s="45" t="n">
        <v>58.4</v>
      </c>
      <c r="G63" s="46" t="n">
        <v>0.68</v>
      </c>
      <c r="H63" s="46" t="n">
        <v>0.018</v>
      </c>
      <c r="I63" s="46" t="n">
        <v>0.9439</v>
      </c>
      <c r="J63" s="46" t="n">
        <f aca="false" t="array" ref="J63:J63">O63/N63</f>
        <v>0.160366187981941</v>
      </c>
      <c r="K63" s="48" t="n">
        <f aca="false" t="array" ref="K63:K63">C63/O63</f>
        <v>1.52763380435376</v>
      </c>
      <c r="L63" s="48" t="n">
        <f aca="false" t="array" ref="L63:L63">C63/P63</f>
        <v>16.6534496431404</v>
      </c>
      <c r="M63" s="49" t="n">
        <f aca="false" t="array" ref="M63:M63">C63/Q63</f>
        <v>39.7163120567376</v>
      </c>
      <c r="N63" s="49" t="n">
        <v>342884</v>
      </c>
      <c r="O63" s="49" t="n">
        <v>54987</v>
      </c>
      <c r="P63" s="49" t="n">
        <v>5044</v>
      </c>
      <c r="Q63" s="45" t="n">
        <v>2115</v>
      </c>
      <c r="R63" s="46" t="n">
        <v>0.453</v>
      </c>
      <c r="S63" s="46" t="n">
        <v>0.007</v>
      </c>
      <c r="T63" s="44" t="s">
        <v>34</v>
      </c>
      <c r="U63" s="14" t="n">
        <v>0.4945</v>
      </c>
      <c r="V63" s="50"/>
      <c r="W63" s="45"/>
      <c r="X63" s="45"/>
      <c r="Y63" s="45"/>
      <c r="Z63" s="51"/>
      <c r="AA63" s="43" t="s">
        <v>110</v>
      </c>
    </row>
    <row r="64" customFormat="false" ht="18.9" hidden="false" customHeight="true" outlineLevel="0" collapsed="false">
      <c r="A64" s="44" t="s">
        <v>32</v>
      </c>
      <c r="B64" s="45" t="n">
        <v>11660</v>
      </c>
      <c r="C64" s="45" t="n">
        <v>14840</v>
      </c>
      <c r="D64" s="44" t="s">
        <v>33</v>
      </c>
      <c r="E64" s="45" t="str">
        <f aca="false" t="array" ref="E64:E64">IF(F64&gt;100,"T1",IF(F64&gt;50,"T2",IF(F64&gt;10,"T3",IF(F64&gt;1,"T4",IF(F64=0,"TBD","T5")))))</f>
        <v>T4</v>
      </c>
      <c r="F64" s="45" t="n">
        <v>8.2</v>
      </c>
      <c r="G64" s="46" t="n">
        <v>0.475</v>
      </c>
      <c r="H64" s="46" t="n">
        <v>0.022</v>
      </c>
      <c r="I64" s="46" t="n">
        <v>0.9618</v>
      </c>
      <c r="J64" s="46" t="n">
        <f aca="false" t="array" ref="J64:J64">O64/N64</f>
        <v>0.120673699796409</v>
      </c>
      <c r="K64" s="48" t="n">
        <f aca="false" t="array" ref="K64:K64">C64/O64</f>
        <v>5.69018404907976</v>
      </c>
      <c r="L64" s="48" t="n">
        <f aca="false" t="array" ref="L64:L64">C64/P64</f>
        <v>58.8888888888889</v>
      </c>
      <c r="M64" s="49" t="n">
        <f aca="false" t="array" ref="M64:M64">C64/Q64</f>
        <v>39.3633952254642</v>
      </c>
      <c r="N64" s="49" t="n">
        <v>21612</v>
      </c>
      <c r="O64" s="49" t="n">
        <v>2608</v>
      </c>
      <c r="P64" s="49" t="n">
        <v>252</v>
      </c>
      <c r="Q64" s="45" t="n">
        <v>377</v>
      </c>
      <c r="R64" s="46" t="n">
        <v>0.628</v>
      </c>
      <c r="S64" s="46" t="n">
        <v>0.131</v>
      </c>
      <c r="T64" s="44" t="s">
        <v>34</v>
      </c>
      <c r="U64" s="14" t="n">
        <v>0.1793</v>
      </c>
      <c r="V64" s="50"/>
      <c r="W64" s="45"/>
      <c r="X64" s="45"/>
      <c r="Y64" s="45"/>
      <c r="Z64" s="51"/>
      <c r="AA64" s="43" t="s">
        <v>111</v>
      </c>
    </row>
    <row r="65" customFormat="false" ht="18.9" hidden="false" customHeight="true" outlineLevel="0" collapsed="false">
      <c r="A65" s="44" t="s">
        <v>32</v>
      </c>
      <c r="B65" s="45" t="n">
        <v>42000</v>
      </c>
      <c r="C65" s="45" t="n">
        <v>52000</v>
      </c>
      <c r="D65" s="44" t="s">
        <v>33</v>
      </c>
      <c r="E65" s="45" t="str">
        <f aca="false" t="array" ref="E65:E65">IF(F65&gt;100,"T1",IF(F65&gt;50,"T2",IF(F65&gt;10,"T3",IF(F65&gt;1,"T4",IF(F65=0,"TBD","T5")))))</f>
        <v>T3</v>
      </c>
      <c r="F65" s="45" t="n">
        <v>44.4</v>
      </c>
      <c r="G65" s="46" t="n">
        <v>0.516</v>
      </c>
      <c r="H65" s="46" t="n">
        <v>0.02</v>
      </c>
      <c r="I65" s="46" t="n">
        <v>0.9778</v>
      </c>
      <c r="J65" s="46" t="n">
        <f aca="false" t="array" ref="J65:J65">O65/N65</f>
        <v>0.199451869559443</v>
      </c>
      <c r="K65" s="48" t="n">
        <f aca="false" t="array" ref="K65:K65">C65/O65</f>
        <v>3.14769975786925</v>
      </c>
      <c r="L65" s="48" t="n">
        <f aca="false" t="array" ref="L65:L65">C65/P65</f>
        <v>30.8605341246291</v>
      </c>
      <c r="M65" s="49" t="e">
        <f aca="false" t="array" ref="M65:M65">C65/Q65</f>
        <v>#VALUE!</v>
      </c>
      <c r="N65" s="49" t="n">
        <v>82827</v>
      </c>
      <c r="O65" s="49" t="n">
        <v>16520</v>
      </c>
      <c r="P65" s="49" t="n">
        <v>1685</v>
      </c>
      <c r="Q65" s="44" t="s">
        <v>34</v>
      </c>
      <c r="R65" s="46" t="n">
        <v>0.795</v>
      </c>
      <c r="S65" s="46" t="n">
        <v>0.016</v>
      </c>
      <c r="T65" s="44" t="s">
        <v>34</v>
      </c>
      <c r="U65" s="14" t="n">
        <v>0.2897</v>
      </c>
      <c r="V65" s="50"/>
      <c r="W65" s="45"/>
      <c r="X65" s="45"/>
      <c r="Y65" s="45"/>
      <c r="Z65" s="51"/>
      <c r="AA65" s="43" t="s">
        <v>112</v>
      </c>
    </row>
    <row r="66" customFormat="false" ht="18.9" hidden="false" customHeight="true" outlineLevel="0" collapsed="false">
      <c r="A66" s="44" t="s">
        <v>32</v>
      </c>
      <c r="B66" s="45" t="n">
        <v>30440</v>
      </c>
      <c r="C66" s="45" t="n">
        <v>48800</v>
      </c>
      <c r="D66" s="44" t="s">
        <v>36</v>
      </c>
      <c r="E66" s="45" t="str">
        <f aca="false" t="array" ref="E66:E66">IF(F66&gt;100,"T1",IF(F66&gt;50,"T2",IF(F66&gt;10,"T3",IF(F66&gt;1,"T4",IF(F66=0,"TBD","T5")))))</f>
        <v>T3</v>
      </c>
      <c r="F66" s="45" t="n">
        <v>41.1</v>
      </c>
      <c r="G66" s="46" t="n">
        <v>0.544</v>
      </c>
      <c r="H66" s="46" t="n">
        <v>0.022</v>
      </c>
      <c r="I66" s="46" t="n">
        <v>0.9532</v>
      </c>
      <c r="J66" s="46" t="n">
        <f aca="false" t="array" ref="J66:J66">O66/N66</f>
        <v>0.15093754377539</v>
      </c>
      <c r="K66" s="48" t="n">
        <f aca="false" t="array" ref="K66:K66">C66/O66</f>
        <v>3.23500165727544</v>
      </c>
      <c r="L66" s="48" t="n">
        <f aca="false" t="array" ref="L66:L66">C66/P66</f>
        <v>10.873440285205</v>
      </c>
      <c r="M66" s="49" t="n">
        <f aca="false" t="array" ref="M66:M66">C66/Q66</f>
        <v>707.246376811594</v>
      </c>
      <c r="N66" s="49" t="n">
        <v>99942</v>
      </c>
      <c r="O66" s="49" t="n">
        <v>15085</v>
      </c>
      <c r="P66" s="49" t="n">
        <v>4488</v>
      </c>
      <c r="Q66" s="45" t="n">
        <v>69</v>
      </c>
      <c r="R66" s="46" t="n">
        <v>0.636</v>
      </c>
      <c r="S66" s="46" t="n">
        <v>0.025</v>
      </c>
      <c r="T66" s="44" t="s">
        <v>34</v>
      </c>
      <c r="U66" s="14" t="n">
        <v>0.131</v>
      </c>
      <c r="V66" s="50"/>
      <c r="W66" s="45"/>
      <c r="X66" s="45"/>
      <c r="Y66" s="45"/>
      <c r="Z66" s="51"/>
      <c r="AA66" s="43" t="s">
        <v>113</v>
      </c>
    </row>
    <row r="67" customFormat="false" ht="18.9" hidden="false" customHeight="true" outlineLevel="0" collapsed="false">
      <c r="A67" s="44" t="s">
        <v>32</v>
      </c>
      <c r="B67" s="45" t="n">
        <v>26800</v>
      </c>
      <c r="C67" s="45" t="n">
        <v>33800</v>
      </c>
      <c r="D67" s="44" t="s">
        <v>36</v>
      </c>
      <c r="E67" s="45" t="str">
        <f aca="false" t="array" ref="E67:E67">IF(F67&gt;100,"T1",IF(F67&gt;50,"T2",IF(F67&gt;10,"T3",IF(F67&gt;1,"T4",IF(F67=0,"TBD","T5")))))</f>
        <v>T3</v>
      </c>
      <c r="F67" s="45" t="n">
        <v>23.9</v>
      </c>
      <c r="G67" s="46" t="n">
        <v>0.458</v>
      </c>
      <c r="H67" s="46" t="n">
        <v>0.028</v>
      </c>
      <c r="I67" s="46" t="n">
        <v>0.7698</v>
      </c>
      <c r="J67" s="46" t="n">
        <f aca="false" t="array" ref="J67:J67">O67/N67</f>
        <v>0.172107688011914</v>
      </c>
      <c r="K67" s="48" t="n">
        <f aca="false" t="array" ref="K67:K67">C67/O67</f>
        <v>2.28486446292165</v>
      </c>
      <c r="L67" s="48" t="n">
        <f aca="false" t="array" ref="L67:L67">C67/P67</f>
        <v>13.1619937694704</v>
      </c>
      <c r="M67" s="49" t="n">
        <f aca="false" t="array" ref="M67:M67">C67/Q67</f>
        <v>19.1392978482446</v>
      </c>
      <c r="N67" s="49" t="n">
        <v>85952</v>
      </c>
      <c r="O67" s="49" t="n">
        <v>14793</v>
      </c>
      <c r="P67" s="49" t="n">
        <v>2568</v>
      </c>
      <c r="Q67" s="45" t="n">
        <v>1766</v>
      </c>
      <c r="R67" s="46" t="n">
        <v>0.221</v>
      </c>
      <c r="S67" s="46" t="n">
        <v>0.062</v>
      </c>
      <c r="T67" s="44" t="s">
        <v>34</v>
      </c>
      <c r="U67" s="44" t="s">
        <v>34</v>
      </c>
      <c r="V67" s="50"/>
      <c r="W67" s="45"/>
      <c r="X67" s="45"/>
      <c r="Y67" s="45"/>
      <c r="Z67" s="51"/>
      <c r="AA67" s="43" t="s">
        <v>114</v>
      </c>
    </row>
    <row r="68" customFormat="false" ht="18.9" hidden="false" customHeight="true" outlineLevel="0" collapsed="false">
      <c r="A68" s="44" t="s">
        <v>32</v>
      </c>
      <c r="B68" s="45" t="n">
        <v>12000</v>
      </c>
      <c r="C68" s="45" t="n">
        <v>14000</v>
      </c>
      <c r="D68" s="44" t="s">
        <v>33</v>
      </c>
      <c r="E68" s="45" t="str">
        <f aca="false" t="array" ref="E68:E68">IF(F68&gt;100,"T1",IF(F68&gt;50,"T2",IF(F68&gt;10,"T3",IF(F68&gt;1,"T4",IF(F68=0,"TBD","T5")))))</f>
        <v>T3</v>
      </c>
      <c r="F68" s="45" t="n">
        <v>18.7</v>
      </c>
      <c r="G68" s="46" t="n">
        <v>0.476</v>
      </c>
      <c r="H68" s="46" t="n">
        <v>0.042</v>
      </c>
      <c r="I68" s="46" t="n">
        <v>0.9173</v>
      </c>
      <c r="J68" s="46" t="n">
        <f aca="false" t="array" ref="J68:J68">O68/N68</f>
        <v>0.16604739907612</v>
      </c>
      <c r="K68" s="48" t="n">
        <f aca="false" t="array" ref="K68:K68">C68/O68</f>
        <v>4.2334442092531</v>
      </c>
      <c r="L68" s="48" t="n">
        <f aca="false" t="array" ref="L68:L68">C68/P68</f>
        <v>36.9393139841689</v>
      </c>
      <c r="M68" s="49" t="n">
        <f aca="false" t="array" ref="M68:M68">C68/Q68</f>
        <v>36.3636363636364</v>
      </c>
      <c r="N68" s="49" t="n">
        <v>19916</v>
      </c>
      <c r="O68" s="49" t="n">
        <v>3307</v>
      </c>
      <c r="P68" s="49" t="n">
        <v>379</v>
      </c>
      <c r="Q68" s="45" t="n">
        <v>385</v>
      </c>
      <c r="R68" s="46" t="n">
        <v>0.528</v>
      </c>
      <c r="S68" s="46" t="n">
        <v>0.097</v>
      </c>
      <c r="T68" s="44" t="s">
        <v>34</v>
      </c>
      <c r="U68" s="14" t="n">
        <v>0.393</v>
      </c>
      <c r="V68" s="50"/>
      <c r="W68" s="45"/>
      <c r="X68" s="45"/>
      <c r="Y68" s="45"/>
      <c r="Z68" s="51"/>
      <c r="AA68" s="43" t="s">
        <v>115</v>
      </c>
    </row>
    <row r="69" customFormat="false" ht="18.9" hidden="false" customHeight="true" outlineLevel="0" collapsed="false">
      <c r="A69" s="44" t="s">
        <v>32</v>
      </c>
      <c r="B69" s="45" t="n">
        <v>8500</v>
      </c>
      <c r="C69" s="45" t="n">
        <v>12000</v>
      </c>
      <c r="D69" s="44" t="s">
        <v>33</v>
      </c>
      <c r="E69" s="45" t="str">
        <f aca="false" t="array" ref="E69:E69">IF(F69&gt;100,"T1",IF(F69&gt;50,"T2",IF(F69&gt;10,"T3",IF(F69&gt;1,"T4",IF(F69=0,"TBD","T5")))))</f>
        <v>T3</v>
      </c>
      <c r="F69" s="45" t="n">
        <v>10.5</v>
      </c>
      <c r="G69" s="46" t="n">
        <v>0.383</v>
      </c>
      <c r="H69" s="46" t="n">
        <v>0.045</v>
      </c>
      <c r="I69" s="46" t="n">
        <v>0.8919</v>
      </c>
      <c r="J69" s="46" t="n">
        <f aca="false" t="array" ref="J69:J69">O69/N69</f>
        <v>0.0979042468194948</v>
      </c>
      <c r="K69" s="48" t="n">
        <f aca="false" t="array" ref="K69:K69">C69/O69</f>
        <v>1.50659133709981</v>
      </c>
      <c r="L69" s="48" t="n">
        <f aca="false" t="array" ref="L69:L69">C69/P69</f>
        <v>32.967032967033</v>
      </c>
      <c r="M69" s="49" t="n">
        <f aca="false" t="array" ref="M69:M69">C69/Q69</f>
        <v>8.42696629213483</v>
      </c>
      <c r="N69" s="49" t="n">
        <v>81355</v>
      </c>
      <c r="O69" s="49" t="n">
        <v>7965</v>
      </c>
      <c r="P69" s="49" t="n">
        <v>364</v>
      </c>
      <c r="Q69" s="45" t="n">
        <v>1424</v>
      </c>
      <c r="R69" s="46" t="n">
        <v>0.651</v>
      </c>
      <c r="S69" s="46" t="n">
        <v>0.055</v>
      </c>
      <c r="T69" s="44" t="s">
        <v>34</v>
      </c>
      <c r="U69" s="14" t="n">
        <v>0.4052</v>
      </c>
      <c r="V69" s="50"/>
      <c r="W69" s="45"/>
      <c r="X69" s="45"/>
      <c r="Y69" s="45"/>
      <c r="Z69" s="51"/>
      <c r="AA69" s="43" t="s">
        <v>116</v>
      </c>
    </row>
    <row r="70" customFormat="false" ht="18.9" hidden="false" customHeight="true" outlineLevel="0" collapsed="false">
      <c r="A70" s="44" t="s">
        <v>32</v>
      </c>
      <c r="B70" s="45" t="n">
        <v>8500</v>
      </c>
      <c r="C70" s="45" t="n">
        <v>12000</v>
      </c>
      <c r="D70" s="44" t="s">
        <v>33</v>
      </c>
      <c r="E70" s="45" t="str">
        <f aca="false" t="array" ref="E70:E70">IF(F70&gt;100,"T1",IF(F70&gt;50,"T2",IF(F70&gt;10,"T3",IF(F70&gt;1,"T4",IF(F70=0,"TBD","T5")))))</f>
        <v>T4</v>
      </c>
      <c r="F70" s="45" t="n">
        <v>6.9</v>
      </c>
      <c r="G70" s="46" t="n">
        <v>0.212</v>
      </c>
      <c r="H70" s="46" t="n">
        <v>0.048</v>
      </c>
      <c r="I70" s="46" t="n">
        <v>0.9569</v>
      </c>
      <c r="J70" s="46" t="n">
        <f aca="false" t="array" ref="J70:J70">O70/N70</f>
        <v>0.0884368880185152</v>
      </c>
      <c r="K70" s="48" t="n">
        <f aca="false" t="array" ref="K70:K70">B70/O70</f>
        <v>4.2778057372924</v>
      </c>
      <c r="L70" s="48" t="n">
        <f aca="false" t="array" ref="L70:L70">B70/P70</f>
        <v>98.8372093023256</v>
      </c>
      <c r="M70" s="49" t="e">
        <f aca="false" t="array" ref="M70:M70">B70/Q70</f>
        <v>#VALUE!</v>
      </c>
      <c r="N70" s="49" t="n">
        <v>22468</v>
      </c>
      <c r="O70" s="49" t="n">
        <v>1987</v>
      </c>
      <c r="P70" s="49" t="n">
        <v>86</v>
      </c>
      <c r="Q70" s="44" t="s">
        <v>34</v>
      </c>
      <c r="R70" s="46" t="n">
        <v>0.792</v>
      </c>
      <c r="S70" s="46" t="n">
        <v>0.004</v>
      </c>
      <c r="T70" s="44" t="s">
        <v>34</v>
      </c>
      <c r="U70" s="44" t="s">
        <v>34</v>
      </c>
      <c r="V70" s="50"/>
      <c r="W70" s="45"/>
      <c r="X70" s="45"/>
      <c r="Y70" s="45"/>
      <c r="Z70" s="51"/>
      <c r="AA70" s="43" t="s">
        <v>111</v>
      </c>
    </row>
    <row r="71" customFormat="false" ht="18.9" hidden="false" customHeight="true" outlineLevel="0" collapsed="false">
      <c r="A71" s="44" t="s">
        <v>32</v>
      </c>
      <c r="B71" s="45" t="n">
        <v>3500</v>
      </c>
      <c r="C71" s="45" t="n">
        <v>4500</v>
      </c>
      <c r="D71" s="44" t="s">
        <v>33</v>
      </c>
      <c r="E71" s="45" t="str">
        <f aca="false" t="array" ref="E71:E71">IF(F71&gt;100,"T1",IF(F71&gt;50,"T2",IF(F71&gt;10,"T3",IF(F71&gt;1,"T4",IF(F71=0,"TBD","T5")))))</f>
        <v>T4</v>
      </c>
      <c r="F71" s="45" t="n">
        <v>4.3</v>
      </c>
      <c r="G71" s="46" t="n">
        <v>0.356</v>
      </c>
      <c r="H71" s="46" t="n">
        <v>0.123</v>
      </c>
      <c r="I71" s="46" t="n">
        <v>0.6477</v>
      </c>
      <c r="J71" s="46" t="n">
        <f aca="false" t="array" ref="J71:J71">O71/N71</f>
        <v>0.153356575320253</v>
      </c>
      <c r="K71" s="48" t="n">
        <f aca="false" t="array" ref="K71:K71">C71/O71</f>
        <v>1.18953211736717</v>
      </c>
      <c r="L71" s="48" t="n">
        <f aca="false" t="array" ref="L71:L71">C71/P71</f>
        <v>16.1870503597122</v>
      </c>
      <c r="M71" s="49" t="e">
        <f aca="false" t="array" ref="M71:M71">C71/Q71</f>
        <v>#VALUE!</v>
      </c>
      <c r="N71" s="49" t="n">
        <v>24668</v>
      </c>
      <c r="O71" s="49" t="n">
        <v>3783</v>
      </c>
      <c r="P71" s="49" t="n">
        <v>278</v>
      </c>
      <c r="Q71" s="44" t="s">
        <v>34</v>
      </c>
      <c r="R71" s="46" t="n">
        <v>0.287</v>
      </c>
      <c r="S71" s="46" t="n">
        <v>0.269</v>
      </c>
      <c r="T71" s="44" t="s">
        <v>34</v>
      </c>
      <c r="U71" s="44" t="s">
        <v>34</v>
      </c>
      <c r="V71" s="50"/>
      <c r="W71" s="45"/>
      <c r="X71" s="45"/>
      <c r="Y71" s="45"/>
      <c r="Z71" s="51"/>
      <c r="AA71" s="43" t="s">
        <v>117</v>
      </c>
    </row>
    <row r="72" customFormat="false" ht="18.9" hidden="false" customHeight="true" outlineLevel="0" collapsed="false">
      <c r="A72" s="44" t="s">
        <v>32</v>
      </c>
      <c r="B72" s="45" t="n">
        <v>2000</v>
      </c>
      <c r="C72" s="45" t="n">
        <v>4500</v>
      </c>
      <c r="D72" s="44" t="s">
        <v>33</v>
      </c>
      <c r="E72" s="45" t="str">
        <f aca="false" t="array" ref="E72:E72">IF(F72&gt;100,"T1",IF(F72&gt;50,"T2",IF(F72&gt;10,"T3",IF(F72&gt;1,"T4",IF(F72=0,"TBD","T5")))))</f>
        <v>T4</v>
      </c>
      <c r="F72" s="45" t="n">
        <v>3.7</v>
      </c>
      <c r="G72" s="46" t="n">
        <v>0.343</v>
      </c>
      <c r="H72" s="46" t="n">
        <v>0.032</v>
      </c>
      <c r="I72" s="46" t="n">
        <v>0.9854</v>
      </c>
      <c r="J72" s="46" t="n">
        <f aca="false" t="array" ref="J72:J72">O72/N72</f>
        <v>0.151790790221717</v>
      </c>
      <c r="K72" s="48" t="n">
        <f aca="false" t="array" ref="K72:K72">C72/O72</f>
        <v>1.29645635263613</v>
      </c>
      <c r="L72" s="48" t="n">
        <f aca="false" t="array" ref="L72:L72">C72/P72</f>
        <v>14.4694533762058</v>
      </c>
      <c r="M72" s="49" t="n">
        <f aca="false" t="array" ref="M72:M72">C72/Q72</f>
        <v>7.8397212543554</v>
      </c>
      <c r="N72" s="49" t="n">
        <v>22867</v>
      </c>
      <c r="O72" s="49" t="n">
        <v>3471</v>
      </c>
      <c r="P72" s="49" t="n">
        <v>311</v>
      </c>
      <c r="Q72" s="45" t="n">
        <v>574</v>
      </c>
      <c r="R72" s="46" t="n">
        <v>0.491</v>
      </c>
      <c r="S72" s="46" t="n">
        <v>0.317</v>
      </c>
      <c r="T72" s="44" t="s">
        <v>34</v>
      </c>
      <c r="U72" s="81" t="n">
        <v>0.29</v>
      </c>
      <c r="V72" s="50"/>
      <c r="W72" s="45"/>
      <c r="X72" s="45"/>
      <c r="Y72" s="45"/>
      <c r="Z72" s="51"/>
      <c r="AA72" s="43" t="s">
        <v>118</v>
      </c>
    </row>
    <row r="73" customFormat="false" ht="18.9" hidden="false" customHeight="true" outlineLevel="0" collapsed="false">
      <c r="A73" s="44" t="s">
        <v>32</v>
      </c>
      <c r="B73" s="45" t="n">
        <v>2500</v>
      </c>
      <c r="C73" s="45" t="n">
        <v>6500</v>
      </c>
      <c r="D73" s="44" t="s">
        <v>33</v>
      </c>
      <c r="E73" s="45" t="str">
        <f aca="false" t="array" ref="E73:E73">IF(F73&gt;100,"T1",IF(F73&gt;50,"T2",IF(F73&gt;10,"T3",IF(F73&gt;1,"T4",IF(F73=0,"TBD","T5")))))</f>
        <v>T4</v>
      </c>
      <c r="F73" s="45" t="n">
        <v>4.2</v>
      </c>
      <c r="G73" s="46" t="n">
        <v>0.522</v>
      </c>
      <c r="H73" s="46" t="n">
        <v>0.022</v>
      </c>
      <c r="I73" s="46" t="n">
        <v>0.9445</v>
      </c>
      <c r="J73" s="46" t="n">
        <f aca="false" t="array" ref="J73:J73">O73/N73</f>
        <v>0.127878264359693</v>
      </c>
      <c r="K73" s="48" t="n">
        <f aca="false" t="array" ref="K73:K73">C73/O73</f>
        <v>0.221752183406113</v>
      </c>
      <c r="L73" s="48" t="n">
        <f aca="false" t="array" ref="L73:L73">C73/P73</f>
        <v>1.60771704180064</v>
      </c>
      <c r="M73" s="49" t="n">
        <f aca="false" t="array" ref="M73:M73">C73/Q73</f>
        <v>36.9318181818182</v>
      </c>
      <c r="N73" s="49" t="n">
        <v>229218</v>
      </c>
      <c r="O73" s="49" t="n">
        <v>29312</v>
      </c>
      <c r="P73" s="49" t="n">
        <v>4043</v>
      </c>
      <c r="Q73" s="45" t="n">
        <v>176</v>
      </c>
      <c r="R73" s="46" t="n">
        <v>0.858</v>
      </c>
      <c r="S73" s="46" t="n">
        <v>0.029</v>
      </c>
      <c r="T73" s="44" t="s">
        <v>34</v>
      </c>
      <c r="U73" s="14" t="n">
        <v>0.1357</v>
      </c>
      <c r="V73" s="50"/>
      <c r="W73" s="45"/>
      <c r="X73" s="45"/>
      <c r="Y73" s="45"/>
      <c r="Z73" s="51"/>
      <c r="AA73" s="43" t="s">
        <v>119</v>
      </c>
    </row>
    <row r="74" customFormat="false" ht="18.9" hidden="false" customHeight="true" outlineLevel="0" collapsed="false">
      <c r="A74" s="44" t="s">
        <v>32</v>
      </c>
      <c r="B74" s="44" t="s">
        <v>38</v>
      </c>
      <c r="C74" s="45" t="n">
        <v>4700</v>
      </c>
      <c r="D74" s="44" t="s">
        <v>33</v>
      </c>
      <c r="E74" s="45" t="str">
        <f aca="false" t="array" ref="E74:E74">IF(F74&gt;100,"T1",IF(F74&gt;50,"T2",IF(F74&gt;10,"T3",IF(F74&gt;1,"T4",IF(F74=0,"TBD","T5")))))</f>
        <v>T4</v>
      </c>
      <c r="F74" s="45" t="n">
        <v>2.3</v>
      </c>
      <c r="G74" s="46" t="n">
        <v>0.473</v>
      </c>
      <c r="H74" s="46" t="n">
        <v>0.037</v>
      </c>
      <c r="I74" s="46" t="n">
        <v>0.9324</v>
      </c>
      <c r="J74" s="46" t="n">
        <f aca="false" t="array" ref="J74:J74">O74/N74</f>
        <v>0.157984750231597</v>
      </c>
      <c r="K74" s="48" t="n">
        <f aca="false" t="array" ref="K74:K74">C74/O74</f>
        <v>2.11998195760036</v>
      </c>
      <c r="L74" s="48" t="n">
        <f aca="false" t="array" ref="L74:L74">C74/P74</f>
        <v>10.3296703296703</v>
      </c>
      <c r="M74" s="49" t="e">
        <f aca="false" t="array" ref="M74:M74">C74/Q74</f>
        <v>#VALUE!</v>
      </c>
      <c r="N74" s="49" t="n">
        <v>14033</v>
      </c>
      <c r="O74" s="49" t="n">
        <v>2217</v>
      </c>
      <c r="P74" s="49" t="n">
        <v>455</v>
      </c>
      <c r="Q74" s="44" t="s">
        <v>34</v>
      </c>
      <c r="R74" s="46" t="n">
        <v>0.661</v>
      </c>
      <c r="S74" s="46" t="n">
        <v>0.021</v>
      </c>
      <c r="T74" s="44" t="s">
        <v>34</v>
      </c>
      <c r="U74" s="44" t="s">
        <v>34</v>
      </c>
      <c r="V74" s="50"/>
      <c r="W74" s="45"/>
      <c r="X74" s="45"/>
      <c r="Y74" s="45"/>
      <c r="Z74" s="51"/>
      <c r="AA74" s="43" t="s">
        <v>111</v>
      </c>
    </row>
    <row r="75" customFormat="false" ht="18.9" hidden="false" customHeight="true" outlineLevel="0" collapsed="false">
      <c r="A75" s="44" t="s">
        <v>32</v>
      </c>
      <c r="B75" s="45" t="n">
        <v>3000</v>
      </c>
      <c r="C75" s="45" t="n">
        <v>5000</v>
      </c>
      <c r="D75" s="44" t="s">
        <v>33</v>
      </c>
      <c r="E75" s="45" t="str">
        <f aca="false" t="array" ref="E75:E75">IF(F75&gt;100,"T1",IF(F75&gt;50,"T2",IF(F75&gt;10,"T3",IF(F75&gt;1,"T4",IF(F75=0,"TBD","T5")))))</f>
        <v>T4</v>
      </c>
      <c r="F75" s="45" t="n">
        <v>1.7</v>
      </c>
      <c r="G75" s="46" t="n">
        <v>0.35</v>
      </c>
      <c r="H75" s="46" t="n">
        <v>0.028</v>
      </c>
      <c r="I75" s="46" t="n">
        <v>0.9762</v>
      </c>
      <c r="J75" s="46" t="n">
        <f aca="false" t="array" ref="J75:J75">O75/N75</f>
        <v>0.156860149579721</v>
      </c>
      <c r="K75" s="48" t="n">
        <f aca="false" t="array" ref="K75:K75">C75/O75</f>
        <v>2.10970464135021</v>
      </c>
      <c r="L75" s="48" t="n">
        <f aca="false" t="array" ref="L75:L75">C75/P75</f>
        <v>19.2307692307692</v>
      </c>
      <c r="M75" s="49" t="n">
        <f aca="false" t="array" ref="M75:M75">C75/Q75</f>
        <v>20.2429149797571</v>
      </c>
      <c r="N75" s="49" t="n">
        <v>15109</v>
      </c>
      <c r="O75" s="49" t="n">
        <v>2370</v>
      </c>
      <c r="P75" s="49" t="n">
        <v>260</v>
      </c>
      <c r="Q75" s="45" t="n">
        <v>247</v>
      </c>
      <c r="R75" s="46" t="n">
        <v>0.718</v>
      </c>
      <c r="S75" s="46" t="n">
        <v>0.107</v>
      </c>
      <c r="T75" s="46" t="n">
        <v>0.1579</v>
      </c>
      <c r="U75" s="14" t="n">
        <v>0.089</v>
      </c>
      <c r="V75" s="50"/>
      <c r="W75" s="45"/>
      <c r="X75" s="45"/>
      <c r="Y75" s="45"/>
      <c r="Z75" s="51"/>
      <c r="AA75" s="43" t="s">
        <v>120</v>
      </c>
    </row>
    <row r="76" customFormat="false" ht="18.9" hidden="false" customHeight="true" outlineLevel="0" collapsed="false">
      <c r="A76" s="52" t="s">
        <v>32</v>
      </c>
      <c r="B76" s="53" t="n">
        <v>9000</v>
      </c>
      <c r="C76" s="53" t="n">
        <v>12500</v>
      </c>
      <c r="D76" s="52" t="s">
        <v>36</v>
      </c>
      <c r="E76" s="53" t="str">
        <f aca="false" t="array" ref="E76:E76">IF(F76&gt;100,"T1",IF(F76&gt;50,"T2",IF(F76&gt;10,"T3",IF(F76&gt;1,"T4",IF(F76=0,"TBD","T5")))))</f>
        <v>T3</v>
      </c>
      <c r="F76" s="53" t="n">
        <v>22</v>
      </c>
      <c r="G76" s="54" t="n">
        <v>0.31</v>
      </c>
      <c r="H76" s="54" t="n">
        <v>0.061</v>
      </c>
      <c r="I76" s="54" t="n">
        <v>0.8885</v>
      </c>
      <c r="J76" s="54" t="n">
        <f aca="false" t="array" ref="J76:J76">O76/N76</f>
        <v>0.177128373341285</v>
      </c>
      <c r="K76" s="56" t="n">
        <f aca="false" t="array" ref="K76:K76">C76/O76</f>
        <v>3.50729517396184</v>
      </c>
      <c r="L76" s="56" t="n">
        <f aca="false" t="array" ref="L76:L76">C76/P76</f>
        <v>46.4684014869888</v>
      </c>
      <c r="M76" s="57" t="e">
        <f aca="false" t="array" ref="M76:M76">C76/Q76</f>
        <v>#VALUE!</v>
      </c>
      <c r="N76" s="57" t="n">
        <v>20121</v>
      </c>
      <c r="O76" s="57" t="n">
        <v>3564</v>
      </c>
      <c r="P76" s="57" t="n">
        <v>269</v>
      </c>
      <c r="Q76" s="52" t="s">
        <v>34</v>
      </c>
      <c r="R76" s="54" t="n">
        <v>0.291</v>
      </c>
      <c r="S76" s="54" t="n">
        <v>0.002</v>
      </c>
      <c r="T76" s="52" t="s">
        <v>34</v>
      </c>
      <c r="U76" s="52" t="s">
        <v>34</v>
      </c>
      <c r="V76" s="58"/>
      <c r="W76" s="53"/>
      <c r="X76" s="53"/>
      <c r="Y76" s="53"/>
      <c r="Z76" s="59"/>
      <c r="AA76" s="43" t="s">
        <v>121</v>
      </c>
    </row>
    <row r="77" customFormat="false" ht="17.4" hidden="false" customHeight="tru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4"/>
      <c r="W77" s="33"/>
      <c r="X77" s="33"/>
      <c r="Y77" s="33"/>
      <c r="Z77" s="33"/>
      <c r="AA77" s="34"/>
    </row>
    <row r="78" customFormat="false" ht="17.4" hidden="false" customHeight="true" outlineLevel="0" collapsed="false">
      <c r="A78" s="82" t="s">
        <v>32</v>
      </c>
      <c r="B78" s="83" t="n">
        <v>15000</v>
      </c>
      <c r="C78" s="83" t="n">
        <v>19800</v>
      </c>
      <c r="D78" s="82" t="s">
        <v>36</v>
      </c>
      <c r="E78" s="83" t="str">
        <f aca="false" t="array" ref="E78:E78">IF(F78&gt;100,"T1",IF(F78&gt;50,"T2",IF(F78&gt;10,"T3",IF(F78&gt;1,"T4",IF(F78=0,"TBD","T5")))))</f>
        <v>T3</v>
      </c>
      <c r="F78" s="83" t="n">
        <v>11.4</v>
      </c>
      <c r="G78" s="84" t="n">
        <v>0.287</v>
      </c>
      <c r="H78" s="84" t="n">
        <v>0.056</v>
      </c>
      <c r="I78" s="84" t="n">
        <v>0.9467</v>
      </c>
      <c r="J78" s="84" t="n">
        <f aca="false" t="array" ref="J78:J78">O78/N78</f>
        <v>0.359768363303871</v>
      </c>
      <c r="K78" s="85" t="n">
        <f aca="false" t="array" ref="K78:K78">C78/O78</f>
        <v>1.67739749237547</v>
      </c>
      <c r="L78" s="85" t="n">
        <f aca="false" t="array" ref="L78:L78">C78/P78</f>
        <v>7.9646017699115</v>
      </c>
      <c r="M78" s="86" t="n">
        <f aca="false" t="array" ref="M78:M78">C78/Q78</f>
        <v>19.1674733785092</v>
      </c>
      <c r="N78" s="86" t="n">
        <v>32810</v>
      </c>
      <c r="O78" s="86" t="n">
        <v>11804</v>
      </c>
      <c r="P78" s="83" t="n">
        <v>2486</v>
      </c>
      <c r="Q78" s="86" t="n">
        <v>1033</v>
      </c>
      <c r="R78" s="84" t="n">
        <v>0.813</v>
      </c>
      <c r="S78" s="84" t="n">
        <v>0.011</v>
      </c>
      <c r="T78" s="82" t="s">
        <v>34</v>
      </c>
      <c r="U78" s="84" t="n">
        <v>0.2979</v>
      </c>
      <c r="V78" s="87" t="s">
        <v>66</v>
      </c>
      <c r="W78" s="82" t="s">
        <v>67</v>
      </c>
      <c r="X78" s="82" t="s">
        <v>122</v>
      </c>
      <c r="Y78" s="82" t="s">
        <v>123</v>
      </c>
      <c r="Z78" s="88" t="s">
        <v>124</v>
      </c>
      <c r="AA78" s="89" t="s">
        <v>125</v>
      </c>
    </row>
    <row r="79" customFormat="false" ht="18" hidden="false" customHeight="true" outlineLevel="0" collapsed="false">
      <c r="A79" s="72" t="s">
        <v>32</v>
      </c>
      <c r="B79" s="73" t="n">
        <v>15000</v>
      </c>
      <c r="C79" s="73" t="n">
        <v>20000</v>
      </c>
      <c r="D79" s="72" t="s">
        <v>36</v>
      </c>
      <c r="E79" s="73" t="str">
        <f aca="false" t="array" ref="E79:E79">IF(F79&gt;100,"T1",IF(F79&gt;50,"T2",IF(F79&gt;10,"T3",IF(F79&gt;1,"T4",IF(F79=0,"TBD","T5")))))</f>
        <v>T3</v>
      </c>
      <c r="F79" s="73" t="n">
        <v>11.2</v>
      </c>
      <c r="G79" s="74" t="n">
        <v>0.376</v>
      </c>
      <c r="H79" s="74" t="n">
        <v>0.045</v>
      </c>
      <c r="I79" s="74" t="n">
        <v>0.9514</v>
      </c>
      <c r="J79" s="74" t="n">
        <f aca="false" t="array" ref="J79:J79">O79/N79</f>
        <v>0.177980132450331</v>
      </c>
      <c r="K79" s="75" t="n">
        <f aca="false" t="array" ref="K79:K79">C79/O79</f>
        <v>31.0077519379845</v>
      </c>
      <c r="L79" s="75" t="n">
        <f aca="false" t="array" ref="L79:L79">C79/P79</f>
        <v>10.5485232067511</v>
      </c>
      <c r="M79" s="76" t="e">
        <f aca="false" t="array" ref="M79:M79">C79/Q79</f>
        <v>#VALUE!</v>
      </c>
      <c r="N79" s="76" t="n">
        <v>3624</v>
      </c>
      <c r="O79" s="76" t="n">
        <v>645</v>
      </c>
      <c r="P79" s="76" t="n">
        <v>1896</v>
      </c>
      <c r="Q79" s="72" t="s">
        <v>34</v>
      </c>
      <c r="R79" s="74" t="n">
        <v>0.768</v>
      </c>
      <c r="S79" s="74" t="n">
        <v>0.017</v>
      </c>
      <c r="T79" s="72" t="s">
        <v>34</v>
      </c>
      <c r="U79" s="72" t="s">
        <v>34</v>
      </c>
      <c r="V79" s="90" t="s">
        <v>66</v>
      </c>
      <c r="W79" s="72" t="s">
        <v>67</v>
      </c>
      <c r="X79" s="72" t="s">
        <v>122</v>
      </c>
      <c r="Y79" s="72" t="s">
        <v>123</v>
      </c>
      <c r="Z79" s="78"/>
      <c r="AA79" s="89" t="s">
        <v>126</v>
      </c>
    </row>
    <row r="80" customFormat="false" ht="18" hidden="false" customHeight="true" outlineLevel="0" collapsed="false">
      <c r="A80" s="72" t="s">
        <v>32</v>
      </c>
      <c r="B80" s="73" t="n">
        <v>30000</v>
      </c>
      <c r="C80" s="73" t="n">
        <v>38000</v>
      </c>
      <c r="D80" s="72" t="s">
        <v>33</v>
      </c>
      <c r="E80" s="73" t="str">
        <f aca="false" t="array" ref="E80:E80">IF(F80&gt;100,"T1",IF(F80&gt;50,"T2",IF(F80&gt;10,"T3",IF(F80&gt;1,"T4",IF(F80=0,"TBD","T5")))))</f>
        <v>T1</v>
      </c>
      <c r="F80" s="72" t="s">
        <v>127</v>
      </c>
      <c r="G80" s="74" t="n">
        <v>0.285</v>
      </c>
      <c r="H80" s="74" t="n">
        <v>0.047</v>
      </c>
      <c r="I80" s="74" t="n">
        <v>0.9233</v>
      </c>
      <c r="J80" s="74" t="n">
        <f aca="false" t="array" ref="J80:J80">O80/N80</f>
        <v>0.195026835012935</v>
      </c>
      <c r="K80" s="75" t="n">
        <f aca="false" t="array" ref="K80:K80">C80/O80</f>
        <v>2.50775424008447</v>
      </c>
      <c r="L80" s="75" t="n">
        <f aca="false" t="array" ref="L80:L80">C80/P80</f>
        <v>10.1333333333333</v>
      </c>
      <c r="M80" s="76" t="n">
        <f aca="false" t="array" ref="M80:M80">C80/Q80</f>
        <v>9.45273631840796</v>
      </c>
      <c r="N80" s="76" t="n">
        <v>77697</v>
      </c>
      <c r="O80" s="76" t="n">
        <v>15153</v>
      </c>
      <c r="P80" s="73" t="n">
        <v>3750</v>
      </c>
      <c r="Q80" s="76" t="n">
        <v>4020</v>
      </c>
      <c r="R80" s="74" t="n">
        <v>0.912</v>
      </c>
      <c r="S80" s="74" t="n">
        <v>0.005</v>
      </c>
      <c r="T80" s="72" t="s">
        <v>34</v>
      </c>
      <c r="U80" s="74" t="n">
        <v>0.6865</v>
      </c>
      <c r="V80" s="77"/>
      <c r="W80" s="73"/>
      <c r="X80" s="73"/>
      <c r="Y80" s="73"/>
      <c r="Z80" s="78"/>
      <c r="AA80" s="79" t="s">
        <v>107</v>
      </c>
    </row>
    <row r="81" customFormat="false" ht="18" hidden="false" customHeight="true" outlineLevel="0" collapsed="false">
      <c r="A81" s="72" t="s">
        <v>32</v>
      </c>
      <c r="B81" s="73" t="n">
        <v>4000</v>
      </c>
      <c r="C81" s="73" t="n">
        <v>5500</v>
      </c>
      <c r="D81" s="72" t="s">
        <v>33</v>
      </c>
      <c r="E81" s="73" t="str">
        <f aca="false" t="array" ref="E81:E81">IF(F81&gt;100,"T1",IF(F81&gt;50,"T2",IF(F81&gt;10,"T3",IF(F81&gt;1,"T4",IF(F81=0,"TBD","T5")))))</f>
        <v>T4</v>
      </c>
      <c r="F81" s="73" t="n">
        <v>2.5</v>
      </c>
      <c r="G81" s="74" t="n">
        <v>0.355</v>
      </c>
      <c r="H81" s="74" t="n">
        <v>0.095</v>
      </c>
      <c r="I81" s="74" t="n">
        <v>0.8587</v>
      </c>
      <c r="J81" s="74" t="n">
        <f aca="false" t="array" ref="J81:J81">O81/N81</f>
        <v>0.196892765698911</v>
      </c>
      <c r="K81" s="75" t="n">
        <f aca="false" t="array" ref="K81:K81">C81/O81</f>
        <v>1.21225479391669</v>
      </c>
      <c r="L81" s="75" t="n">
        <f aca="false" t="array" ref="L81:L81">C81/P81</f>
        <v>10.1102941176471</v>
      </c>
      <c r="M81" s="76" t="n">
        <f aca="false" t="array" ref="M81:M81">C81/Q81</f>
        <v>305.555555555556</v>
      </c>
      <c r="N81" s="76" t="n">
        <v>23043</v>
      </c>
      <c r="O81" s="76" t="n">
        <v>4537</v>
      </c>
      <c r="P81" s="76" t="n">
        <v>544</v>
      </c>
      <c r="Q81" s="76" t="n">
        <v>18</v>
      </c>
      <c r="R81" s="74" t="n">
        <v>0.802</v>
      </c>
      <c r="S81" s="74" t="n">
        <v>0.035</v>
      </c>
      <c r="T81" s="74" t="n">
        <v>0.0715</v>
      </c>
      <c r="U81" s="74" t="n">
        <v>0.1304</v>
      </c>
      <c r="V81" s="77"/>
      <c r="W81" s="73"/>
      <c r="X81" s="73"/>
      <c r="Y81" s="73"/>
      <c r="Z81" s="78"/>
      <c r="AA81" s="89" t="s">
        <v>128</v>
      </c>
    </row>
    <row r="82" customFormat="false" ht="18" hidden="false" customHeight="true" outlineLevel="0" collapsed="false">
      <c r="A82" s="72" t="s">
        <v>32</v>
      </c>
      <c r="B82" s="73" t="n">
        <v>6000</v>
      </c>
      <c r="C82" s="73" t="n">
        <v>8000</v>
      </c>
      <c r="D82" s="72" t="s">
        <v>36</v>
      </c>
      <c r="E82" s="73" t="str">
        <f aca="false" t="array" ref="E82:E82">IF(F82&gt;100,"T1",IF(F82&gt;50,"T2",IF(F82&gt;10,"T3",IF(F82&gt;1,"T4",IF(F82=0,"TBD","T5")))))</f>
        <v>T4</v>
      </c>
      <c r="F82" s="73" t="n">
        <v>3.3</v>
      </c>
      <c r="G82" s="74" t="n">
        <v>0.577</v>
      </c>
      <c r="H82" s="74" t="n">
        <v>0.051</v>
      </c>
      <c r="I82" s="74" t="n">
        <v>0.9093</v>
      </c>
      <c r="J82" s="74" t="n">
        <f aca="false" t="array" ref="J82:J82">O82/N82</f>
        <v>0.181475046432209</v>
      </c>
      <c r="K82" s="75" t="n">
        <f aca="false" t="array" ref="K82:K82">C82/O82</f>
        <v>2.64113568834599</v>
      </c>
      <c r="L82" s="75" t="n">
        <f aca="false" t="array" ref="L82:L82">C82/P82</f>
        <v>24.7678018575851</v>
      </c>
      <c r="M82" s="76" t="e">
        <f aca="false" t="array" ref="M82:M82">C82/Q82</f>
        <v>#VALUE!</v>
      </c>
      <c r="N82" s="73" t="n">
        <v>16691</v>
      </c>
      <c r="O82" s="73" t="n">
        <v>3029</v>
      </c>
      <c r="P82" s="73" t="n">
        <v>323</v>
      </c>
      <c r="Q82" s="72" t="s">
        <v>34</v>
      </c>
      <c r="R82" s="74" t="n">
        <v>0.281</v>
      </c>
      <c r="S82" s="74" t="n">
        <v>0.115</v>
      </c>
      <c r="T82" s="72" t="s">
        <v>34</v>
      </c>
      <c r="U82" s="72" t="s">
        <v>34</v>
      </c>
      <c r="V82" s="77"/>
      <c r="W82" s="74"/>
      <c r="X82" s="74"/>
      <c r="Y82" s="73"/>
      <c r="Z82" s="78"/>
      <c r="AA82" s="89" t="s">
        <v>129</v>
      </c>
    </row>
    <row r="83" customFormat="false" ht="18" hidden="false" customHeight="true" outlineLevel="0" collapsed="false">
      <c r="A83" s="72" t="s">
        <v>32</v>
      </c>
      <c r="B83" s="72" t="s">
        <v>38</v>
      </c>
      <c r="C83" s="73" t="n">
        <v>35000</v>
      </c>
      <c r="D83" s="72" t="s">
        <v>36</v>
      </c>
      <c r="E83" s="73" t="str">
        <f aca="false" t="array" ref="E83:E83">IF(F83&gt;100,"T1",IF(F83&gt;50,"T2",IF(F83&gt;10,"T3",IF(F83&gt;1,"T4",IF(F83=0,"TBD","T5")))))</f>
        <v>T3</v>
      </c>
      <c r="F83" s="73" t="n">
        <v>26.4</v>
      </c>
      <c r="G83" s="74" t="n">
        <v>0.439</v>
      </c>
      <c r="H83" s="74" t="n">
        <v>0.034</v>
      </c>
      <c r="I83" s="74" t="n">
        <v>0.962</v>
      </c>
      <c r="J83" s="74" t="n">
        <f aca="false" t="array" ref="J83:J83">O83/N83</f>
        <v>0.174294089006382</v>
      </c>
      <c r="K83" s="75" t="n">
        <f aca="false" t="array" ref="K83:K83">C83/O83</f>
        <v>0.656192583148974</v>
      </c>
      <c r="L83" s="75" t="n">
        <f aca="false" t="array" ref="L83:L83">C83/P83</f>
        <v>10.0143061516452</v>
      </c>
      <c r="M83" s="76" t="e">
        <f aca="false" t="array" ref="M83:M83">C83/Q83</f>
        <v>#VALUE!</v>
      </c>
      <c r="N83" s="73" t="n">
        <v>306023</v>
      </c>
      <c r="O83" s="73" t="n">
        <v>53338</v>
      </c>
      <c r="P83" s="73" t="n">
        <v>3495</v>
      </c>
      <c r="Q83" s="72" t="s">
        <v>34</v>
      </c>
      <c r="R83" s="74" t="n">
        <v>0.714</v>
      </c>
      <c r="S83" s="74" t="n">
        <v>0.117</v>
      </c>
      <c r="T83" s="74" t="n">
        <v>0.6893</v>
      </c>
      <c r="U83" s="72" t="s">
        <v>34</v>
      </c>
      <c r="V83" s="77"/>
      <c r="W83" s="74"/>
      <c r="X83" s="74"/>
      <c r="Y83" s="73"/>
      <c r="Z83" s="78"/>
      <c r="AA83" s="89" t="s">
        <v>130</v>
      </c>
    </row>
    <row r="84" customFormat="false" ht="18" hidden="false" customHeight="true" outlineLevel="0" collapsed="false">
      <c r="A84" s="72" t="s">
        <v>32</v>
      </c>
      <c r="B84" s="73" t="n">
        <v>40000</v>
      </c>
      <c r="C84" s="73" t="n">
        <v>75000</v>
      </c>
      <c r="D84" s="72" t="s">
        <v>33</v>
      </c>
      <c r="E84" s="73" t="str">
        <f aca="false" t="array" ref="E84:E84">IF(F84&gt;100,"T1",IF(F84&gt;50,"T2",IF(F84&gt;10,"T3",IF(F84&gt;1,"T4",IF(F84=0,"TBD","T5")))))</f>
        <v>T3</v>
      </c>
      <c r="F84" s="73" t="n">
        <v>43.7</v>
      </c>
      <c r="G84" s="74" t="n">
        <v>0.42</v>
      </c>
      <c r="H84" s="74" t="n">
        <v>0.038</v>
      </c>
      <c r="I84" s="74" t="n">
        <v>0.8805</v>
      </c>
      <c r="J84" s="74" t="n">
        <f aca="false" t="array" ref="J84:J84">O84/N84</f>
        <v>0.206315563184183</v>
      </c>
      <c r="K84" s="75" t="n">
        <f aca="false" t="array" ref="K84:K84">C84/O84</f>
        <v>1.22106085767315</v>
      </c>
      <c r="L84" s="75" t="n">
        <f aca="false" t="array" ref="L84:L84">C84/P84</f>
        <v>30.0480769230769</v>
      </c>
      <c r="M84" s="76" t="n">
        <f aca="false" t="array" ref="M84:M84">C84/Q84</f>
        <v>25.1931474638898</v>
      </c>
      <c r="N84" s="76" t="n">
        <v>297709</v>
      </c>
      <c r="O84" s="76" t="n">
        <v>61422</v>
      </c>
      <c r="P84" s="76" t="n">
        <v>2496</v>
      </c>
      <c r="Q84" s="76" t="n">
        <v>2977</v>
      </c>
      <c r="R84" s="74" t="n">
        <v>0.54</v>
      </c>
      <c r="S84" s="74" t="n">
        <v>0.006</v>
      </c>
      <c r="T84" s="72" t="s">
        <v>34</v>
      </c>
      <c r="U84" s="72" t="s">
        <v>34</v>
      </c>
      <c r="V84" s="77"/>
      <c r="W84" s="73"/>
      <c r="X84" s="73"/>
      <c r="Y84" s="73"/>
      <c r="Z84" s="78"/>
      <c r="AA84" s="89" t="s">
        <v>131</v>
      </c>
    </row>
    <row r="85" customFormat="false" ht="18" hidden="false" customHeight="true" outlineLevel="0" collapsed="false">
      <c r="A85" s="72" t="s">
        <v>32</v>
      </c>
      <c r="B85" s="73" t="n">
        <v>10000</v>
      </c>
      <c r="C85" s="73" t="n">
        <v>35000</v>
      </c>
      <c r="D85" s="72" t="s">
        <v>33</v>
      </c>
      <c r="E85" s="73" t="str">
        <f aca="false" t="array" ref="E85:E85">IF(F85&gt;100,"T1",IF(F85&gt;50,"T2",IF(F85&gt;10,"T3",IF(F85&gt;1,"T4",IF(F85=0,"TBD","T5")))))</f>
        <v>T3</v>
      </c>
      <c r="F85" s="73" t="n">
        <v>38.7</v>
      </c>
      <c r="G85" s="74" t="n">
        <v>0.328</v>
      </c>
      <c r="H85" s="74" t="n">
        <v>0.041</v>
      </c>
      <c r="I85" s="74" t="n">
        <v>0.9587</v>
      </c>
      <c r="J85" s="74" t="n">
        <f aca="false" t="array" ref="J85:J85">O85/N85</f>
        <v>0.171799381135772</v>
      </c>
      <c r="K85" s="75" t="n">
        <f aca="false" t="array" ref="K85:K85">C85/O85</f>
        <v>0.907041231502838</v>
      </c>
      <c r="L85" s="75" t="n">
        <f aca="false" t="array" ref="L85:L85">C85/P85</f>
        <v>10.6642291285801</v>
      </c>
      <c r="M85" s="76" t="e">
        <f aca="false" t="array" ref="M85:M85">C85/Q85</f>
        <v>#VALUE!</v>
      </c>
      <c r="N85" s="76" t="n">
        <v>224605</v>
      </c>
      <c r="O85" s="76" t="n">
        <v>38587</v>
      </c>
      <c r="P85" s="76" t="n">
        <v>3282</v>
      </c>
      <c r="Q85" s="72" t="s">
        <v>34</v>
      </c>
      <c r="R85" s="74" t="n">
        <v>0.898</v>
      </c>
      <c r="S85" s="74" t="n">
        <v>0.012</v>
      </c>
      <c r="T85" s="72" t="s">
        <v>34</v>
      </c>
      <c r="U85" s="74" t="n">
        <v>0.5722</v>
      </c>
      <c r="V85" s="90" t="s">
        <v>66</v>
      </c>
      <c r="W85" s="72" t="s">
        <v>67</v>
      </c>
      <c r="X85" s="72" t="s">
        <v>132</v>
      </c>
      <c r="Y85" s="73"/>
      <c r="Z85" s="78"/>
      <c r="AA85" s="89" t="s">
        <v>133</v>
      </c>
    </row>
    <row r="86" customFormat="false" ht="18" hidden="false" customHeight="true" outlineLevel="0" collapsed="false">
      <c r="A86" s="72" t="s">
        <v>32</v>
      </c>
      <c r="B86" s="73" t="n">
        <v>10000</v>
      </c>
      <c r="C86" s="73" t="n">
        <v>10000</v>
      </c>
      <c r="D86" s="72" t="s">
        <v>61</v>
      </c>
      <c r="E86" s="73" t="str">
        <f aca="false" t="array" ref="E86:E86">IF(F86&gt;100,"T1",IF(F86&gt;50,"T2",IF(F86&gt;10,"T3",IF(F86&gt;1,"T4",IF(F86=0,"TBD","T5")))))</f>
        <v>T5</v>
      </c>
      <c r="F86" s="73" t="n">
        <v>0.8</v>
      </c>
      <c r="G86" s="74" t="n">
        <v>0.421</v>
      </c>
      <c r="H86" s="74" t="n">
        <v>0.052</v>
      </c>
      <c r="I86" s="74" t="n">
        <v>0.8823</v>
      </c>
      <c r="J86" s="74" t="n">
        <f aca="false" t="array" ref="J86:J86">O86/N86</f>
        <v>0.184710040581228</v>
      </c>
      <c r="K86" s="75" t="n">
        <f aca="false" t="array" ref="K86:K86">C86/O86</f>
        <v>1.0124531740407</v>
      </c>
      <c r="L86" s="75" t="n">
        <f aca="false" t="array" ref="L86:L86">C86/P86</f>
        <v>8.87311446317658</v>
      </c>
      <c r="M86" s="76" t="e">
        <f aca="false" t="array" ref="M86:M86">C86/Q86</f>
        <v>#VALUE!</v>
      </c>
      <c r="N86" s="76" t="n">
        <v>53473</v>
      </c>
      <c r="O86" s="76" t="n">
        <v>9877</v>
      </c>
      <c r="P86" s="76" t="n">
        <v>1127</v>
      </c>
      <c r="Q86" s="72" t="s">
        <v>34</v>
      </c>
      <c r="R86" s="74" t="n">
        <v>0.879</v>
      </c>
      <c r="S86" s="74" t="n">
        <v>0.003</v>
      </c>
      <c r="T86" s="72" t="s">
        <v>34</v>
      </c>
      <c r="U86" s="74" t="n">
        <v>0.0394</v>
      </c>
      <c r="V86" s="77"/>
      <c r="W86" s="73"/>
      <c r="X86" s="73"/>
      <c r="Y86" s="73"/>
      <c r="Z86" s="78"/>
      <c r="AA86" s="89" t="s">
        <v>134</v>
      </c>
    </row>
    <row r="87" customFormat="false" ht="18" hidden="false" customHeight="true" outlineLevel="0" collapsed="false">
      <c r="A87" s="72" t="s">
        <v>32</v>
      </c>
      <c r="B87" s="73" t="n">
        <v>12000</v>
      </c>
      <c r="C87" s="73" t="n">
        <v>18000</v>
      </c>
      <c r="D87" s="72" t="s">
        <v>36</v>
      </c>
      <c r="E87" s="73" t="str">
        <f aca="false" t="array" ref="E87:E87">IF(F87&gt;100,"T1",IF(F87&gt;50,"T2",IF(F87&gt;10,"T3",IF(F87&gt;1,"T4",IF(F87=0,"TBD","T5")))))</f>
        <v>T3</v>
      </c>
      <c r="F87" s="73" t="n">
        <v>13.5</v>
      </c>
      <c r="G87" s="74" t="n">
        <v>0.539</v>
      </c>
      <c r="H87" s="74" t="n">
        <v>0.033</v>
      </c>
      <c r="I87" s="74" t="n">
        <v>0.9479</v>
      </c>
      <c r="J87" s="74" t="n">
        <f aca="false" t="array" ref="J87:J87">O87/N87</f>
        <v>0.15412937577886</v>
      </c>
      <c r="K87" s="75" t="n">
        <f aca="false" t="array" ref="K87:K87">C87/O87</f>
        <v>6.61521499448732</v>
      </c>
      <c r="L87" s="75" t="n">
        <f aca="false" t="array" ref="L87:L87">C87/P87</f>
        <v>10.2389078498294</v>
      </c>
      <c r="M87" s="76" t="n">
        <f aca="false" t="array" ref="M87:M87">C87/Q87</f>
        <v>136.363636363636</v>
      </c>
      <c r="N87" s="76" t="n">
        <v>17654</v>
      </c>
      <c r="O87" s="76" t="n">
        <v>2721</v>
      </c>
      <c r="P87" s="76" t="n">
        <v>1758</v>
      </c>
      <c r="Q87" s="76" t="n">
        <v>132</v>
      </c>
      <c r="R87" s="74" t="n">
        <v>0.43</v>
      </c>
      <c r="S87" s="74" t="n">
        <v>0.021</v>
      </c>
      <c r="T87" s="72" t="s">
        <v>34</v>
      </c>
      <c r="U87" s="74" t="n">
        <v>0.3252</v>
      </c>
      <c r="V87" s="77"/>
      <c r="W87" s="73"/>
      <c r="X87" s="73"/>
      <c r="Y87" s="73"/>
      <c r="Z87" s="78"/>
      <c r="AA87" s="89" t="s">
        <v>135</v>
      </c>
    </row>
    <row r="88" customFormat="false" ht="18" hidden="false" customHeight="true" outlineLevel="0" collapsed="false">
      <c r="A88" s="72" t="s">
        <v>32</v>
      </c>
      <c r="B88" s="73" t="n">
        <v>20000</v>
      </c>
      <c r="C88" s="73" t="n">
        <v>28800</v>
      </c>
      <c r="D88" s="72" t="s">
        <v>33</v>
      </c>
      <c r="E88" s="73" t="str">
        <f aca="false" t="array" ref="E88:E88">IF(F88&gt;100,"T1",IF(F88&gt;50,"T2",IF(F88&gt;10,"T3",IF(F88&gt;1,"T4",IF(F88=0,"TBD","T5")))))</f>
        <v>T3</v>
      </c>
      <c r="F88" s="73" t="n">
        <v>23.7</v>
      </c>
      <c r="G88" s="74" t="n">
        <v>0.369</v>
      </c>
      <c r="H88" s="74" t="n">
        <v>0.05</v>
      </c>
      <c r="I88" s="74" t="n">
        <v>0.9524</v>
      </c>
      <c r="J88" s="74" t="n">
        <f aca="false" t="array" ref="J88:J88">O88/N88</f>
        <v>0.207786657549468</v>
      </c>
      <c r="K88" s="75" t="n">
        <f aca="false" t="array" ref="K88:K88">C88/O88</f>
        <v>5.92348827642945</v>
      </c>
      <c r="L88" s="75" t="n">
        <f aca="false" t="array" ref="L88:L88">C88/P88</f>
        <v>5.86319218241042</v>
      </c>
      <c r="M88" s="76" t="n">
        <f aca="false" t="array" ref="M88:M88">C88/Q88</f>
        <v>15.7119476268412</v>
      </c>
      <c r="N88" s="76" t="n">
        <v>23399</v>
      </c>
      <c r="O88" s="76" t="n">
        <v>4862</v>
      </c>
      <c r="P88" s="76" t="n">
        <v>4912</v>
      </c>
      <c r="Q88" s="76" t="n">
        <v>1833</v>
      </c>
      <c r="R88" s="74" t="n">
        <v>0.881</v>
      </c>
      <c r="S88" s="74" t="n">
        <v>0.043</v>
      </c>
      <c r="T88" s="72" t="s">
        <v>34</v>
      </c>
      <c r="U88" s="74" t="n">
        <v>0.3826</v>
      </c>
      <c r="V88" s="77"/>
      <c r="W88" s="73"/>
      <c r="X88" s="73"/>
      <c r="Y88" s="73"/>
      <c r="Z88" s="78"/>
      <c r="AA88" s="79" t="s">
        <v>107</v>
      </c>
    </row>
    <row r="89" customFormat="false" ht="18" hidden="false" customHeight="true" outlineLevel="0" collapsed="false">
      <c r="A89" s="72" t="s">
        <v>32</v>
      </c>
      <c r="B89" s="73" t="n">
        <v>15000</v>
      </c>
      <c r="C89" s="73" t="n">
        <v>18000</v>
      </c>
      <c r="D89" s="72" t="s">
        <v>33</v>
      </c>
      <c r="E89" s="73" t="str">
        <f aca="false" t="array" ref="E89:E89">IF(F89&gt;100,"T1",IF(F89&gt;50,"T2",IF(F89&gt;10,"T3",IF(F89&gt;1,"T4",IF(F89=0,"TBD","T5")))))</f>
        <v>T4</v>
      </c>
      <c r="F89" s="73" t="n">
        <v>7.2</v>
      </c>
      <c r="G89" s="74" t="n">
        <v>0.368</v>
      </c>
      <c r="H89" s="74" t="n">
        <v>0.056</v>
      </c>
      <c r="I89" s="74" t="n">
        <v>0.9378</v>
      </c>
      <c r="J89" s="74" t="n">
        <f aca="false" t="array" ref="J89:J89">O89/N89</f>
        <v>0.247186257087247</v>
      </c>
      <c r="K89" s="75" t="n">
        <f aca="false" t="array" ref="K89:K89">C89/O89</f>
        <v>6.16227319411161</v>
      </c>
      <c r="L89" s="75" t="n">
        <f aca="false" t="array" ref="L89:L89">C89/P89</f>
        <v>12.4913254684247</v>
      </c>
      <c r="M89" s="76" t="n">
        <f aca="false" t="array" ref="M89:M89">C89/Q89</f>
        <v>230.769230769231</v>
      </c>
      <c r="N89" s="76" t="n">
        <v>11817</v>
      </c>
      <c r="O89" s="76" t="n">
        <v>2921</v>
      </c>
      <c r="P89" s="76" t="n">
        <v>1441</v>
      </c>
      <c r="Q89" s="76" t="n">
        <v>78</v>
      </c>
      <c r="R89" s="74" t="n">
        <v>0.82</v>
      </c>
      <c r="S89" s="74" t="n">
        <v>0.042</v>
      </c>
      <c r="T89" s="72" t="s">
        <v>34</v>
      </c>
      <c r="U89" s="74" t="n">
        <v>0.1765</v>
      </c>
      <c r="V89" s="77"/>
      <c r="W89" s="73"/>
      <c r="X89" s="73"/>
      <c r="Y89" s="73"/>
      <c r="Z89" s="78"/>
      <c r="AA89" s="79" t="s">
        <v>107</v>
      </c>
    </row>
    <row r="90" customFormat="false" ht="18" hidden="false" customHeight="true" outlineLevel="0" collapsed="false">
      <c r="A90" s="72" t="s">
        <v>32</v>
      </c>
      <c r="B90" s="73" t="n">
        <v>10000</v>
      </c>
      <c r="C90" s="73" t="n">
        <v>15000</v>
      </c>
      <c r="D90" s="72" t="s">
        <v>33</v>
      </c>
      <c r="E90" s="73" t="str">
        <f aca="false" t="array" ref="E90:E90">IF(F90&gt;100,"T1",IF(F90&gt;50,"T2",IF(F90&gt;10,"T3",IF(F90&gt;1,"T4",IF(F90=0,"TBD","T5")))))</f>
        <v>T4</v>
      </c>
      <c r="F90" s="73" t="n">
        <v>7.7</v>
      </c>
      <c r="G90" s="74" t="n">
        <v>0.265</v>
      </c>
      <c r="H90" s="74" t="n">
        <v>0.065</v>
      </c>
      <c r="I90" s="74" t="n">
        <v>0.9237</v>
      </c>
      <c r="J90" s="74" t="n">
        <f aca="false" t="array" ref="J90:J90">O90/N90</f>
        <v>0.202472651951583</v>
      </c>
      <c r="K90" s="75" t="n">
        <f aca="false" t="array" ref="K90:K90">C90/O90</f>
        <v>4.79539641943734</v>
      </c>
      <c r="L90" s="75" t="n">
        <f aca="false" t="array" ref="L90:L90">C90/P90</f>
        <v>6.55594405594406</v>
      </c>
      <c r="M90" s="76" t="n">
        <f aca="false" t="array" ref="M90:M90">C90/Q90</f>
        <v>9.2478421701603</v>
      </c>
      <c r="N90" s="76" t="n">
        <v>15449</v>
      </c>
      <c r="O90" s="76" t="n">
        <v>3128</v>
      </c>
      <c r="P90" s="76" t="n">
        <v>2288</v>
      </c>
      <c r="Q90" s="76" t="n">
        <v>1622</v>
      </c>
      <c r="R90" s="74" t="n">
        <v>0.502</v>
      </c>
      <c r="S90" s="74" t="n">
        <v>0.284</v>
      </c>
      <c r="T90" s="72" t="s">
        <v>34</v>
      </c>
      <c r="U90" s="74" t="n">
        <v>0.2289</v>
      </c>
      <c r="V90" s="77"/>
      <c r="W90" s="73"/>
      <c r="X90" s="73"/>
      <c r="Y90" s="73"/>
      <c r="Z90" s="78"/>
      <c r="AA90" s="79" t="s">
        <v>107</v>
      </c>
    </row>
    <row r="91" customFormat="false" ht="18" hidden="false" customHeight="true" outlineLevel="0" collapsed="false">
      <c r="A91" s="72" t="s">
        <v>32</v>
      </c>
      <c r="B91" s="73" t="n">
        <v>25000</v>
      </c>
      <c r="C91" s="73" t="n">
        <v>30000</v>
      </c>
      <c r="D91" s="72" t="s">
        <v>33</v>
      </c>
      <c r="E91" s="73" t="str">
        <f aca="false" t="array" ref="E91:E91">IF(F91&gt;100,"T1",IF(F91&gt;50,"T2",IF(F91&gt;10,"T3",IF(F91&gt;1,"T4",IF(F91=0,"TBD","T5")))))</f>
        <v>T3</v>
      </c>
      <c r="F91" s="73" t="n">
        <v>24.3</v>
      </c>
      <c r="G91" s="74" t="n">
        <v>0.458</v>
      </c>
      <c r="H91" s="74" t="n">
        <v>0.027</v>
      </c>
      <c r="I91" s="74" t="n">
        <v>0.9818</v>
      </c>
      <c r="J91" s="74" t="n">
        <f aca="false" t="array" ref="J91:J91">O91/N91</f>
        <v>0.194465057401021</v>
      </c>
      <c r="K91" s="75" t="n">
        <f aca="false" t="array" ref="K91:K91">C91/O91</f>
        <v>6.73400673400673</v>
      </c>
      <c r="L91" s="75" t="n">
        <f aca="false" t="array" ref="L91:L91">C91/P91</f>
        <v>9.60307298335467</v>
      </c>
      <c r="M91" s="76" t="n">
        <f aca="false" t="array" ref="M91:M91">C91/Q91</f>
        <v>303.030303030303</v>
      </c>
      <c r="N91" s="76" t="n">
        <v>22909</v>
      </c>
      <c r="O91" s="76" t="n">
        <v>4455</v>
      </c>
      <c r="P91" s="76" t="n">
        <v>3124</v>
      </c>
      <c r="Q91" s="76" t="n">
        <v>99</v>
      </c>
      <c r="R91" s="74" t="n">
        <v>0.722</v>
      </c>
      <c r="S91" s="74" t="n">
        <v>0.087</v>
      </c>
      <c r="T91" s="72" t="s">
        <v>34</v>
      </c>
      <c r="U91" s="74" t="n">
        <v>0.1417</v>
      </c>
      <c r="V91" s="77"/>
      <c r="W91" s="73"/>
      <c r="X91" s="73"/>
      <c r="Y91" s="73"/>
      <c r="Z91" s="78"/>
      <c r="AA91" s="79" t="s">
        <v>107</v>
      </c>
    </row>
    <row r="92" customFormat="false" ht="18" hidden="false" customHeight="true" outlineLevel="0" collapsed="false">
      <c r="A92" s="91" t="s">
        <v>32</v>
      </c>
      <c r="B92" s="92" t="n">
        <v>10000</v>
      </c>
      <c r="C92" s="92" t="n">
        <v>15000</v>
      </c>
      <c r="D92" s="91" t="s">
        <v>33</v>
      </c>
      <c r="E92" s="92" t="str">
        <f aca="false" t="array" ref="E92:E92">IF(F92&gt;100,"T1",IF(F92&gt;50,"T2",IF(F92&gt;10,"T3",IF(F92&gt;1,"T4",IF(F92=0,"TBD","T5")))))</f>
        <v>T3</v>
      </c>
      <c r="F92" s="92" t="n">
        <v>22.5</v>
      </c>
      <c r="G92" s="93" t="n">
        <v>0.248</v>
      </c>
      <c r="H92" s="93" t="n">
        <v>0.091</v>
      </c>
      <c r="I92" s="93" t="n">
        <v>0.9164</v>
      </c>
      <c r="J92" s="93" t="n">
        <f aca="false" t="array" ref="J92:J92">O92/N92</f>
        <v>0.676159215340305</v>
      </c>
      <c r="K92" s="94" t="n">
        <f aca="false" t="array" ref="K92:K92">C92/O92</f>
        <v>0.143906978529079</v>
      </c>
      <c r="L92" s="94" t="n">
        <f aca="false" t="array" ref="L92:L92">C92/P92</f>
        <v>2.58665287118469</v>
      </c>
      <c r="M92" s="95" t="e">
        <f aca="false" t="array" ref="M92:M92">C92/Q92</f>
        <v>#VALUE!</v>
      </c>
      <c r="N92" s="95" t="n">
        <v>154156</v>
      </c>
      <c r="O92" s="95" t="n">
        <v>104234</v>
      </c>
      <c r="P92" s="95" t="n">
        <v>5799</v>
      </c>
      <c r="Q92" s="91" t="s">
        <v>34</v>
      </c>
      <c r="R92" s="93" t="n">
        <v>0.931</v>
      </c>
      <c r="S92" s="93" t="n">
        <v>0.001</v>
      </c>
      <c r="T92" s="91" t="s">
        <v>34</v>
      </c>
      <c r="U92" s="91" t="s">
        <v>34</v>
      </c>
      <c r="V92" s="96" t="s">
        <v>66</v>
      </c>
      <c r="W92" s="91" t="s">
        <v>67</v>
      </c>
      <c r="X92" s="91" t="s">
        <v>122</v>
      </c>
      <c r="Y92" s="91" t="s">
        <v>123</v>
      </c>
      <c r="Z92" s="97" t="s">
        <v>136</v>
      </c>
      <c r="AA92" s="79" t="s">
        <v>137</v>
      </c>
    </row>
    <row r="93" customFormat="false" ht="18" hidden="false" customHeight="true" outlineLevel="0" collapsed="false">
      <c r="A93" s="33"/>
      <c r="B93" s="33"/>
      <c r="C93" s="33"/>
      <c r="D93" s="33"/>
      <c r="E93" s="33"/>
      <c r="F93" s="33"/>
      <c r="G93" s="98"/>
      <c r="H93" s="98"/>
      <c r="I93" s="98"/>
      <c r="J93" s="98"/>
      <c r="K93" s="99"/>
      <c r="L93" s="99"/>
      <c r="M93" s="100"/>
      <c r="N93" s="100"/>
      <c r="O93" s="100"/>
      <c r="P93" s="100"/>
      <c r="Q93" s="100"/>
      <c r="R93" s="98"/>
      <c r="S93" s="98"/>
      <c r="T93" s="98"/>
      <c r="U93" s="98"/>
      <c r="V93" s="101"/>
      <c r="W93" s="33"/>
      <c r="X93" s="33"/>
      <c r="Y93" s="33"/>
      <c r="Z93" s="33"/>
      <c r="AA93" s="101"/>
    </row>
    <row r="94" customFormat="false" ht="18" hidden="false" customHeight="true" outlineLevel="0" collapsed="false">
      <c r="A94" s="82" t="s">
        <v>32</v>
      </c>
      <c r="B94" s="83" t="n">
        <v>3500</v>
      </c>
      <c r="C94" s="82" t="s">
        <v>38</v>
      </c>
      <c r="D94" s="82" t="s">
        <v>33</v>
      </c>
      <c r="E94" s="83" t="str">
        <f aca="false" t="array" ref="E94:E94">IF(F94&gt;100,"T1",IF(F94&gt;50,"T2",IF(F94&gt;10,"T3",IF(F94&gt;1,"T4",IF(F94=0,"TBD","T5")))))</f>
        <v>T4</v>
      </c>
      <c r="F94" s="83" t="n">
        <v>1.8</v>
      </c>
      <c r="G94" s="84" t="n">
        <v>0.495</v>
      </c>
      <c r="H94" s="84" t="n">
        <v>0.035</v>
      </c>
      <c r="I94" s="84" t="n">
        <v>0.9057</v>
      </c>
      <c r="J94" s="84" t="n">
        <f aca="false" t="array" ref="J94:J94">O94/N94</f>
        <v>0.411767399267399</v>
      </c>
      <c r="K94" s="85" t="n">
        <f aca="false" t="array" ref="K94:K94">B94/O94</f>
        <v>0.389191593461581</v>
      </c>
      <c r="L94" s="85" t="n">
        <f aca="false" t="array" ref="L94:L94">B94/P94</f>
        <v>4.46998722860792</v>
      </c>
      <c r="M94" s="86" t="n">
        <f aca="false" t="array" ref="M94:M94">B94/Q94</f>
        <v>0.569754191762982</v>
      </c>
      <c r="N94" s="86" t="n">
        <v>21840</v>
      </c>
      <c r="O94" s="86" t="n">
        <v>8993</v>
      </c>
      <c r="P94" s="86" t="n">
        <v>783</v>
      </c>
      <c r="Q94" s="86" t="n">
        <v>6143</v>
      </c>
      <c r="R94" s="84" t="n">
        <v>0.715</v>
      </c>
      <c r="S94" s="84" t="n">
        <v>0.034</v>
      </c>
      <c r="T94" s="84" t="n">
        <v>0.527</v>
      </c>
      <c r="U94" s="82" t="s">
        <v>34</v>
      </c>
      <c r="V94" s="102"/>
      <c r="W94" s="83"/>
      <c r="X94" s="83"/>
      <c r="Y94" s="83"/>
      <c r="Z94" s="103"/>
      <c r="AA94" s="89" t="s">
        <v>138</v>
      </c>
    </row>
    <row r="95" customFormat="false" ht="17.4" hidden="false" customHeight="true" outlineLevel="0" collapsed="false">
      <c r="A95" s="44" t="s">
        <v>32</v>
      </c>
      <c r="B95" s="45" t="n">
        <v>90000</v>
      </c>
      <c r="C95" s="45" t="n">
        <v>105000</v>
      </c>
      <c r="D95" s="44" t="s">
        <v>36</v>
      </c>
      <c r="E95" s="45" t="str">
        <f aca="false" t="array" ref="E95:E95">IF(F95&gt;100,"T1",IF(F95&gt;50,"T2",IF(F95&gt;10,"T3",IF(F95&gt;1,"T4",IF(F95=0,"TBD","T5")))))</f>
        <v>T2</v>
      </c>
      <c r="F95" s="45" t="n">
        <v>98.7</v>
      </c>
      <c r="G95" s="46" t="n">
        <v>0.57</v>
      </c>
      <c r="H95" s="46" t="n">
        <v>0.018</v>
      </c>
      <c r="I95" s="46" t="n">
        <v>0.9716</v>
      </c>
      <c r="J95" s="46" t="n">
        <f aca="false" t="array" ref="J95:J95">O95/N95</f>
        <v>0.130025348997295</v>
      </c>
      <c r="K95" s="48" t="n">
        <f aca="false" t="array" ref="K95:K95">C95/O95</f>
        <v>1.31725859668051</v>
      </c>
      <c r="L95" s="48" t="n">
        <f aca="false" t="array" ref="L95:L95">C95/P95</f>
        <v>25.8684405025868</v>
      </c>
      <c r="M95" s="49" t="n">
        <f aca="false" t="array" ref="M95:M95">C95/Q95</f>
        <v>11.8057117157634</v>
      </c>
      <c r="N95" s="45" t="n">
        <v>613042</v>
      </c>
      <c r="O95" s="45" t="n">
        <v>79711</v>
      </c>
      <c r="P95" s="45" t="n">
        <v>4059</v>
      </c>
      <c r="Q95" s="45" t="n">
        <v>8894</v>
      </c>
      <c r="R95" s="46" t="n">
        <v>0.825</v>
      </c>
      <c r="S95" s="46" t="n">
        <v>0.004</v>
      </c>
      <c r="T95" s="44" t="s">
        <v>34</v>
      </c>
      <c r="U95" s="44" t="s">
        <v>34</v>
      </c>
      <c r="V95" s="90" t="s">
        <v>139</v>
      </c>
      <c r="W95" s="72" t="s">
        <v>140</v>
      </c>
      <c r="X95" s="72" t="s">
        <v>141</v>
      </c>
      <c r="Y95" s="72" t="s">
        <v>142</v>
      </c>
      <c r="Z95" s="78"/>
      <c r="AA95" s="104" t="s">
        <v>143</v>
      </c>
    </row>
    <row r="96" customFormat="false" ht="17.4" hidden="false" customHeight="true" outlineLevel="0" collapsed="false">
      <c r="A96" s="44" t="s">
        <v>32</v>
      </c>
      <c r="B96" s="45" t="n">
        <v>60000</v>
      </c>
      <c r="C96" s="45" t="n">
        <v>60000</v>
      </c>
      <c r="D96" s="44" t="s">
        <v>33</v>
      </c>
      <c r="E96" s="45" t="str">
        <f aca="false" t="array" ref="E96:E96">IF(F96&gt;100,"T1",IF(F96&gt;50,"T2",IF(F96&gt;10,"T3",IF(F96&gt;1,"T4",IF(F96=0,"TBD","T5")))))</f>
        <v>T2</v>
      </c>
      <c r="F96" s="45" t="n">
        <v>69.1</v>
      </c>
      <c r="G96" s="46" t="n">
        <v>0.56</v>
      </c>
      <c r="H96" s="46" t="n">
        <v>0.026</v>
      </c>
      <c r="I96" s="46" t="n">
        <v>0.9776</v>
      </c>
      <c r="J96" s="46" t="n">
        <f aca="false" t="array" ref="J96:J96">O96/N96</f>
        <v>0.249078361501159</v>
      </c>
      <c r="K96" s="48" t="n">
        <f aca="false" t="array" ref="K96:K96">C96/O96</f>
        <v>1.64758217316089</v>
      </c>
      <c r="L96" s="48" t="n">
        <f aca="false" t="array" ref="L96:L96">C96/P96</f>
        <v>10.4566050888811</v>
      </c>
      <c r="M96" s="49" t="n">
        <f aca="false" t="array" ref="M96:M96">C96/Q96</f>
        <v>40.7331975560081</v>
      </c>
      <c r="N96" s="45" t="n">
        <v>146207</v>
      </c>
      <c r="O96" s="45" t="n">
        <v>36417</v>
      </c>
      <c r="P96" s="45" t="n">
        <v>5738</v>
      </c>
      <c r="Q96" s="45" t="n">
        <v>1473</v>
      </c>
      <c r="R96" s="46" t="n">
        <v>0.668</v>
      </c>
      <c r="S96" s="46" t="n">
        <v>0.052</v>
      </c>
      <c r="T96" s="44" t="s">
        <v>34</v>
      </c>
      <c r="U96" s="46" t="n">
        <v>0.4837</v>
      </c>
      <c r="V96" s="77"/>
      <c r="W96" s="73"/>
      <c r="X96" s="73"/>
      <c r="Y96" s="73"/>
      <c r="Z96" s="73"/>
      <c r="AA96" s="105" t="s">
        <v>103</v>
      </c>
    </row>
    <row r="97" customFormat="false" ht="17.4" hidden="false" customHeight="true" outlineLevel="0" collapsed="false">
      <c r="A97" s="44" t="s">
        <v>32</v>
      </c>
      <c r="B97" s="45" t="n">
        <v>60000</v>
      </c>
      <c r="C97" s="45" t="n">
        <v>75000</v>
      </c>
      <c r="D97" s="44" t="s">
        <v>36</v>
      </c>
      <c r="E97" s="45" t="str">
        <f aca="false" t="array" ref="E97:E97">IF(F97&gt;100,"T1",IF(F97&gt;50,"T2",IF(F97&gt;10,"T3",IF(F97&gt;1,"T4",IF(F97=0,"TBD","T5")))))</f>
        <v>T2</v>
      </c>
      <c r="F97" s="45" t="n">
        <v>58.2</v>
      </c>
      <c r="G97" s="46" t="n">
        <v>0.384</v>
      </c>
      <c r="H97" s="46" t="n">
        <v>0.037</v>
      </c>
      <c r="I97" s="46" t="n">
        <v>0.892</v>
      </c>
      <c r="J97" s="46" t="n">
        <f aca="false" t="array" ref="J97:J97">O97/N97</f>
        <v>0.19528883444081</v>
      </c>
      <c r="K97" s="48" t="n">
        <f aca="false" t="array" ref="K97:K97">C97/O97</f>
        <v>0.71502798142834</v>
      </c>
      <c r="L97" s="48" t="n">
        <f aca="false" t="array" ref="L97:L97">C97/P97</f>
        <v>8.92325996430696</v>
      </c>
      <c r="M97" s="49" t="n">
        <f aca="false" t="array" ref="M97:M97">C97/Q97</f>
        <v>216.763005780347</v>
      </c>
      <c r="N97" s="45" t="n">
        <v>537107</v>
      </c>
      <c r="O97" s="45" t="n">
        <v>104891</v>
      </c>
      <c r="P97" s="45" t="n">
        <v>8405</v>
      </c>
      <c r="Q97" s="45" t="n">
        <v>346</v>
      </c>
      <c r="R97" s="46" t="n">
        <v>0.728</v>
      </c>
      <c r="S97" s="46" t="n">
        <v>0.009</v>
      </c>
      <c r="T97" s="44" t="s">
        <v>34</v>
      </c>
      <c r="U97" s="46" t="n">
        <v>0.6098</v>
      </c>
      <c r="V97" s="77"/>
      <c r="W97" s="73"/>
      <c r="X97" s="73"/>
      <c r="Y97" s="73"/>
      <c r="Z97" s="78"/>
      <c r="AA97" s="106" t="s">
        <v>144</v>
      </c>
    </row>
    <row r="98" customFormat="false" ht="17.4" hidden="false" customHeight="true" outlineLevel="0" collapsed="false">
      <c r="A98" s="44" t="s">
        <v>32</v>
      </c>
      <c r="B98" s="45" t="n">
        <v>40000</v>
      </c>
      <c r="C98" s="45" t="n">
        <v>40000</v>
      </c>
      <c r="D98" s="44" t="s">
        <v>36</v>
      </c>
      <c r="E98" s="45" t="str">
        <f aca="false" t="array" ref="E98:E98">IF(F98&gt;100,"T1",IF(F98&gt;50,"T2",IF(F98&gt;10,"T3",IF(F98&gt;1,"T4",IF(F98=0,"TBD","T5")))))</f>
        <v>T2</v>
      </c>
      <c r="F98" s="45" t="n">
        <v>62.4</v>
      </c>
      <c r="G98" s="46" t="n">
        <v>0.372</v>
      </c>
      <c r="H98" s="46" t="n">
        <v>0.072</v>
      </c>
      <c r="I98" s="46" t="n">
        <v>0.9112</v>
      </c>
      <c r="J98" s="46" t="n">
        <f aca="false" t="array" ref="J98:J98">O98/N98</f>
        <v>0.494685222634097</v>
      </c>
      <c r="K98" s="48" t="n">
        <f aca="false" t="array" ref="K98:K98">C98/O98</f>
        <v>0.275746065448329</v>
      </c>
      <c r="L98" s="48" t="n">
        <f aca="false" t="array" ref="L98:L98">C98/P98</f>
        <v>2.98284862043251</v>
      </c>
      <c r="M98" s="49" t="n">
        <f aca="false" t="array" ref="M98:M98">C98/Q98</f>
        <v>122.324159021407</v>
      </c>
      <c r="N98" s="45" t="n">
        <v>293239</v>
      </c>
      <c r="O98" s="45" t="n">
        <v>145061</v>
      </c>
      <c r="P98" s="45" t="n">
        <v>13410</v>
      </c>
      <c r="Q98" s="45" t="n">
        <v>327</v>
      </c>
      <c r="R98" s="46" t="n">
        <v>0.56</v>
      </c>
      <c r="S98" s="46" t="n">
        <v>0.174</v>
      </c>
      <c r="T98" s="44" t="s">
        <v>34</v>
      </c>
      <c r="U98" s="46" t="n">
        <v>0.7292</v>
      </c>
      <c r="V98" s="77"/>
      <c r="W98" s="73"/>
      <c r="X98" s="73"/>
      <c r="Y98" s="73"/>
      <c r="Z98" s="78"/>
      <c r="AA98" s="89" t="s">
        <v>145</v>
      </c>
    </row>
    <row r="99" customFormat="false" ht="17.4" hidden="false" customHeight="true" outlineLevel="0" collapsed="false">
      <c r="A99" s="44" t="s">
        <v>32</v>
      </c>
      <c r="B99" s="45" t="n">
        <v>8000</v>
      </c>
      <c r="C99" s="45" t="n">
        <v>10000</v>
      </c>
      <c r="D99" s="44" t="s">
        <v>36</v>
      </c>
      <c r="E99" s="45" t="str">
        <f aca="false" t="array" ref="E99:E99">IF(F99&gt;100,"T1",IF(F99&gt;50,"T2",IF(F99&gt;10,"T3",IF(F99&gt;1,"T4",IF(F99=0,"TBD","T5")))))</f>
        <v>T4</v>
      </c>
      <c r="F99" s="45" t="n">
        <v>3.6</v>
      </c>
      <c r="G99" s="46" t="n">
        <v>0.305</v>
      </c>
      <c r="H99" s="46" t="n">
        <v>0.072</v>
      </c>
      <c r="I99" s="46" t="n">
        <v>0.8772</v>
      </c>
      <c r="J99" s="46" t="n">
        <f aca="false" t="array" ref="J99:J99">O99/N99</f>
        <v>0.612798209036845</v>
      </c>
      <c r="K99" s="48" t="n">
        <f aca="false" t="array" ref="K99:K99">C99/O99</f>
        <v>0.0174296191976798</v>
      </c>
      <c r="L99" s="48" t="n">
        <f aca="false" t="array" ref="L99:L99">C99/P99</f>
        <v>0.391358797745773</v>
      </c>
      <c r="M99" s="49" t="n">
        <f aca="false" t="array" ref="M99:M99">C99/Q99</f>
        <v>0.457268279299465</v>
      </c>
      <c r="N99" s="45" t="n">
        <v>936256</v>
      </c>
      <c r="O99" s="45" t="n">
        <v>573736</v>
      </c>
      <c r="P99" s="45" t="n">
        <v>25552</v>
      </c>
      <c r="Q99" s="45" t="n">
        <v>21869</v>
      </c>
      <c r="R99" s="46" t="n">
        <v>0.909</v>
      </c>
      <c r="S99" s="46" t="n">
        <v>0.003</v>
      </c>
      <c r="T99" s="44" t="s">
        <v>34</v>
      </c>
      <c r="U99" s="46" t="n">
        <v>0.6101</v>
      </c>
      <c r="V99" s="77"/>
      <c r="W99" s="73"/>
      <c r="X99" s="73"/>
      <c r="Y99" s="73"/>
      <c r="Z99" s="78"/>
      <c r="AA99" s="89" t="s">
        <v>146</v>
      </c>
    </row>
    <row r="100" customFormat="false" ht="18" hidden="false" customHeight="true" outlineLevel="0" collapsed="false">
      <c r="A100" s="44" t="s">
        <v>32</v>
      </c>
      <c r="B100" s="45" t="n">
        <v>35000</v>
      </c>
      <c r="C100" s="45" t="n">
        <v>40000</v>
      </c>
      <c r="D100" s="44" t="s">
        <v>33</v>
      </c>
      <c r="E100" s="45" t="str">
        <f aca="false" t="array" ref="E100:E100">IF(F100&gt;100,"T1",IF(F100&gt;50,"T2",IF(F100&gt;10,"T3",IF(F100&gt;1,"T4",IF(F100=0,"TBD","T5")))))</f>
        <v>T3</v>
      </c>
      <c r="F100" s="45" t="n">
        <v>19.6</v>
      </c>
      <c r="G100" s="46" t="n">
        <v>0.31</v>
      </c>
      <c r="H100" s="46" t="n">
        <v>0.027</v>
      </c>
      <c r="I100" s="46" t="n">
        <v>0.9471</v>
      </c>
      <c r="J100" s="46" t="n">
        <f aca="false" t="array" ref="J100:J100">O100/N100</f>
        <v>0.0882322419339658</v>
      </c>
      <c r="K100" s="48" t="n">
        <f aca="false" t="array" ref="K100:K100">C100/O100</f>
        <v>1.09409190371991</v>
      </c>
      <c r="L100" s="48" t="n">
        <f aca="false" t="array" ref="L100:L100">C100/P100</f>
        <v>14.7710487444609</v>
      </c>
      <c r="M100" s="49" t="n">
        <f aca="false" t="array" ref="M100:M100">C100/Q100</f>
        <v>6.26762770291445</v>
      </c>
      <c r="N100" s="45" t="n">
        <v>414361</v>
      </c>
      <c r="O100" s="45" t="n">
        <v>36560</v>
      </c>
      <c r="P100" s="45" t="n">
        <v>2708</v>
      </c>
      <c r="Q100" s="45" t="n">
        <v>6382</v>
      </c>
      <c r="R100" s="46" t="n">
        <v>0.645</v>
      </c>
      <c r="S100" s="46" t="n">
        <v>0.034</v>
      </c>
      <c r="T100" s="44" t="s">
        <v>34</v>
      </c>
      <c r="U100" s="46" t="n">
        <v>0.3645</v>
      </c>
      <c r="V100" s="77"/>
      <c r="W100" s="73"/>
      <c r="X100" s="73"/>
      <c r="Y100" s="73"/>
      <c r="Z100" s="78"/>
      <c r="AA100" s="104" t="s">
        <v>147</v>
      </c>
    </row>
    <row r="101" customFormat="false" ht="18" hidden="false" customHeight="true" outlineLevel="0" collapsed="false">
      <c r="A101" s="44" t="s">
        <v>32</v>
      </c>
      <c r="B101" s="45" t="n">
        <v>24000</v>
      </c>
      <c r="C101" s="45" t="n">
        <v>28000</v>
      </c>
      <c r="D101" s="44" t="s">
        <v>33</v>
      </c>
      <c r="E101" s="45" t="str">
        <f aca="false" t="array" ref="E101:E101">IF(F101&gt;100,"T1",IF(F101&gt;50,"T2",IF(F101&gt;10,"T3",IF(F101&gt;1,"T4",IF(F101=0,"TBD","T5")))))</f>
        <v>T3</v>
      </c>
      <c r="F101" s="45" t="n">
        <v>32.5</v>
      </c>
      <c r="G101" s="46" t="n">
        <v>0.464</v>
      </c>
      <c r="H101" s="46" t="n">
        <v>0.025</v>
      </c>
      <c r="I101" s="46" t="n">
        <v>0.9689</v>
      </c>
      <c r="J101" s="46" t="n">
        <f aca="false" t="array" ref="J101:J101">O101/N101</f>
        <v>0.134596721311475</v>
      </c>
      <c r="K101" s="48" t="n">
        <f aca="false" t="array" ref="K101:K101">C101/O101</f>
        <v>2.72824710123745</v>
      </c>
      <c r="L101" s="48" t="n">
        <f aca="false" t="array" ref="L101:L101">C101/P101</f>
        <v>16.6765932102442</v>
      </c>
      <c r="M101" s="49" t="n">
        <f aca="false" t="array" ref="M101:M101">C101/Q101</f>
        <v>21.722265321955</v>
      </c>
      <c r="N101" s="45" t="n">
        <v>76250</v>
      </c>
      <c r="O101" s="45" t="n">
        <v>10263</v>
      </c>
      <c r="P101" s="45" t="n">
        <v>1679</v>
      </c>
      <c r="Q101" s="45" t="n">
        <v>1289</v>
      </c>
      <c r="R101" s="46" t="n">
        <v>0.614</v>
      </c>
      <c r="S101" s="46" t="n">
        <v>0.021</v>
      </c>
      <c r="T101" s="44" t="s">
        <v>34</v>
      </c>
      <c r="U101" s="46" t="n">
        <v>0.3271</v>
      </c>
      <c r="V101" s="77"/>
      <c r="W101" s="73"/>
      <c r="X101" s="73"/>
      <c r="Y101" s="73"/>
      <c r="Z101" s="73"/>
      <c r="AA101" s="105" t="s">
        <v>103</v>
      </c>
    </row>
    <row r="102" customFormat="false" ht="18" hidden="false" customHeight="true" outlineLevel="0" collapsed="false">
      <c r="A102" s="44" t="s">
        <v>32</v>
      </c>
      <c r="B102" s="45" t="n">
        <v>5688</v>
      </c>
      <c r="C102" s="45" t="n">
        <v>10000</v>
      </c>
      <c r="D102" s="44" t="s">
        <v>33</v>
      </c>
      <c r="E102" s="45" t="str">
        <f aca="false" t="array" ref="E102:E102">IF(F102&gt;100,"T1",IF(F102&gt;50,"T2",IF(F102&gt;10,"T3",IF(F102&gt;1,"T4",IF(F102=0,"TBD","T5")))))</f>
        <v>T3</v>
      </c>
      <c r="F102" s="45" t="n">
        <v>10.2</v>
      </c>
      <c r="G102" s="46" t="n">
        <v>0.424</v>
      </c>
      <c r="H102" s="46" t="n">
        <v>0.03</v>
      </c>
      <c r="I102" s="46" t="n">
        <v>0.97</v>
      </c>
      <c r="J102" s="46" t="n">
        <f aca="false" t="array" ref="J102:J102">O102/N102</f>
        <v>0.126633643459029</v>
      </c>
      <c r="K102" s="48" t="n">
        <f aca="false" t="array" ref="K102:K102">C102/O102</f>
        <v>0.721709006928406</v>
      </c>
      <c r="L102" s="48" t="n">
        <f aca="false" t="array" ref="L102:L102">C102/P102</f>
        <v>14.8809523809524</v>
      </c>
      <c r="M102" s="49" t="n">
        <f aca="false" t="array" ref="M102:M102">C102/Q102</f>
        <v>21.505376344086</v>
      </c>
      <c r="N102" s="49" t="n">
        <v>109418</v>
      </c>
      <c r="O102" s="49" t="n">
        <v>13856</v>
      </c>
      <c r="P102" s="45" t="n">
        <v>672</v>
      </c>
      <c r="Q102" s="45" t="n">
        <v>465</v>
      </c>
      <c r="R102" s="46" t="n">
        <v>0.487</v>
      </c>
      <c r="S102" s="46" t="n">
        <v>0.053</v>
      </c>
      <c r="T102" s="44" t="s">
        <v>34</v>
      </c>
      <c r="U102" s="46" t="n">
        <v>0.3445</v>
      </c>
      <c r="V102" s="90" t="s">
        <v>148</v>
      </c>
      <c r="W102" s="72" t="s">
        <v>140</v>
      </c>
      <c r="X102" s="73"/>
      <c r="Y102" s="72" t="s">
        <v>149</v>
      </c>
      <c r="Z102" s="78"/>
      <c r="AA102" s="106" t="s">
        <v>150</v>
      </c>
    </row>
    <row r="103" customFormat="false" ht="18" hidden="false" customHeight="true" outlineLevel="0" collapsed="false">
      <c r="A103" s="44" t="s">
        <v>32</v>
      </c>
      <c r="B103" s="45" t="n">
        <v>5000</v>
      </c>
      <c r="C103" s="45" t="n">
        <v>18000</v>
      </c>
      <c r="D103" s="44" t="s">
        <v>33</v>
      </c>
      <c r="E103" s="45" t="str">
        <f aca="false" t="array" ref="E103:E103">IF(F103&gt;100,"T1",IF(F103&gt;50,"T2",IF(F103&gt;10,"T3",IF(F103&gt;1,"T4",IF(F103=0,"TBD","T5")))))</f>
        <v>T4</v>
      </c>
      <c r="F103" s="45" t="n">
        <v>9.5</v>
      </c>
      <c r="G103" s="46" t="n">
        <v>0.412</v>
      </c>
      <c r="H103" s="46" t="n">
        <v>0.035</v>
      </c>
      <c r="I103" s="46" t="n">
        <v>0.9759</v>
      </c>
      <c r="J103" s="46" t="n">
        <f aca="false" t="array" ref="J103:J103">O103/N103</f>
        <v>0.168406935530223</v>
      </c>
      <c r="K103" s="48" t="n">
        <f aca="false" t="array" ref="K103:K103">C103/O103</f>
        <v>2.55972696245734</v>
      </c>
      <c r="L103" s="48" t="n">
        <f aca="false" t="array" ref="L103:L103">C103/P103</f>
        <v>29.5081967213115</v>
      </c>
      <c r="M103" s="49" t="n">
        <f aca="false" t="array" ref="M103:M103">C103/Q103</f>
        <v>165.137614678899</v>
      </c>
      <c r="N103" s="49" t="n">
        <v>41756</v>
      </c>
      <c r="O103" s="49" t="n">
        <v>7032</v>
      </c>
      <c r="P103" s="45" t="n">
        <v>610</v>
      </c>
      <c r="Q103" s="45" t="n">
        <v>109</v>
      </c>
      <c r="R103" s="46" t="n">
        <v>0.765</v>
      </c>
      <c r="S103" s="46" t="n">
        <v>0.005</v>
      </c>
      <c r="T103" s="44" t="s">
        <v>34</v>
      </c>
      <c r="U103" s="46" t="n">
        <v>0.1174</v>
      </c>
      <c r="V103" s="77"/>
      <c r="W103" s="73"/>
      <c r="X103" s="73"/>
      <c r="Y103" s="73"/>
      <c r="Z103" s="78"/>
      <c r="AA103" s="89" t="s">
        <v>151</v>
      </c>
    </row>
    <row r="104" customFormat="false" ht="18" hidden="false" customHeight="true" outlineLevel="0" collapsed="false">
      <c r="A104" s="44" t="s">
        <v>32</v>
      </c>
      <c r="B104" s="45" t="n">
        <v>9500</v>
      </c>
      <c r="C104" s="45" t="n">
        <v>10000</v>
      </c>
      <c r="D104" s="44" t="s">
        <v>33</v>
      </c>
      <c r="E104" s="45" t="str">
        <f aca="false" t="array" ref="E104:E104">IF(F104&gt;100,"T1",IF(F104&gt;50,"T2",IF(F104&gt;10,"T3",IF(F104&gt;1,"T4",IF(F104=0,"TBD","T5")))))</f>
        <v>T4</v>
      </c>
      <c r="F104" s="45" t="n">
        <v>5.7</v>
      </c>
      <c r="G104" s="46" t="n">
        <v>0.325</v>
      </c>
      <c r="H104" s="46" t="n">
        <v>0.053</v>
      </c>
      <c r="I104" s="46" t="n">
        <v>0.7061</v>
      </c>
      <c r="J104" s="46" t="n">
        <f aca="false" t="array" ref="J104:J104">O104/N104</f>
        <v>0.0940187472102366</v>
      </c>
      <c r="K104" s="48" t="n">
        <f aca="false" t="array" ref="K104:K104">C104/O104</f>
        <v>0.791264440576041</v>
      </c>
      <c r="L104" s="48" t="n">
        <f aca="false" t="array" ref="L104:L104">C104/P104</f>
        <v>9.15750915750916</v>
      </c>
      <c r="M104" s="49" t="n">
        <f aca="false" t="array" ref="M104:M104">C104/Q104</f>
        <v>4.42282176028306</v>
      </c>
      <c r="N104" s="49" t="n">
        <v>134420</v>
      </c>
      <c r="O104" s="49" t="n">
        <v>12638</v>
      </c>
      <c r="P104" s="45" t="n">
        <v>1092</v>
      </c>
      <c r="Q104" s="45" t="n">
        <v>2261</v>
      </c>
      <c r="R104" s="46" t="n">
        <v>0.812</v>
      </c>
      <c r="S104" s="46" t="n">
        <v>0.049</v>
      </c>
      <c r="T104" s="44" t="s">
        <v>34</v>
      </c>
      <c r="U104" s="46" t="n">
        <v>0.2837</v>
      </c>
      <c r="V104" s="77"/>
      <c r="W104" s="73"/>
      <c r="X104" s="73"/>
      <c r="Y104" s="73"/>
      <c r="Z104" s="78"/>
      <c r="AA104" s="89" t="s">
        <v>152</v>
      </c>
    </row>
    <row r="105" customFormat="false" ht="18" hidden="false" customHeight="true" outlineLevel="0" collapsed="false">
      <c r="A105" s="44" t="s">
        <v>32</v>
      </c>
      <c r="B105" s="45" t="n">
        <v>3000</v>
      </c>
      <c r="C105" s="45" t="n">
        <v>3700</v>
      </c>
      <c r="D105" s="44" t="s">
        <v>33</v>
      </c>
      <c r="E105" s="45" t="str">
        <f aca="false" t="array" ref="E105:E105">IF(F105&gt;100,"T1",IF(F105&gt;50,"T2",IF(F105&gt;10,"T3",IF(F105&gt;1,"T4",IF(F105=0,"TBD","T5")))))</f>
        <v>T4</v>
      </c>
      <c r="F105" s="45" t="n">
        <v>5.5</v>
      </c>
      <c r="G105" s="46" t="n">
        <v>0.298</v>
      </c>
      <c r="H105" s="46" t="n">
        <v>0.071</v>
      </c>
      <c r="I105" s="46" t="n">
        <v>0.9413</v>
      </c>
      <c r="J105" s="46" t="n">
        <f aca="false" t="array" ref="J105:J105">O105/N105</f>
        <v>0.220350588879759</v>
      </c>
      <c r="K105" s="48" t="n">
        <f aca="false" t="array" ref="K105:K105">C105/O105</f>
        <v>1.14978247358608</v>
      </c>
      <c r="L105" s="48" t="n">
        <f aca="false" t="array" ref="L105:L105">C105/P105</f>
        <v>7.07456978967495</v>
      </c>
      <c r="M105" s="49" t="n">
        <f aca="false" t="array" ref="M105:M105">C105/Q105</f>
        <v>90.2439024390244</v>
      </c>
      <c r="N105" s="49" t="n">
        <v>14604</v>
      </c>
      <c r="O105" s="49" t="n">
        <v>3218</v>
      </c>
      <c r="P105" s="45" t="n">
        <v>523</v>
      </c>
      <c r="Q105" s="45" t="n">
        <v>41</v>
      </c>
      <c r="R105" s="46" t="n">
        <v>0.668</v>
      </c>
      <c r="S105" s="46" t="n">
        <v>0.014</v>
      </c>
      <c r="T105" s="44" t="s">
        <v>34</v>
      </c>
      <c r="U105" s="46" t="n">
        <v>0.2452</v>
      </c>
      <c r="V105" s="77"/>
      <c r="W105" s="73"/>
      <c r="X105" s="73"/>
      <c r="Y105" s="73"/>
      <c r="Z105" s="78"/>
      <c r="AA105" s="89" t="s">
        <v>153</v>
      </c>
    </row>
    <row r="106" customFormat="false" ht="18" hidden="false" customHeight="true" outlineLevel="0" collapsed="false">
      <c r="A106" s="44" t="s">
        <v>32</v>
      </c>
      <c r="B106" s="45" t="n">
        <v>18000</v>
      </c>
      <c r="C106" s="45" t="n">
        <v>30000</v>
      </c>
      <c r="D106" s="44" t="s">
        <v>36</v>
      </c>
      <c r="E106" s="45" t="str">
        <f aca="false" t="array" ref="E106:E106">IF(F106&gt;100,"T1",IF(F106&gt;50,"T2",IF(F106&gt;10,"T3",IF(F106&gt;1,"T4",IF(F106=0,"TBD","T5")))))</f>
        <v>T2</v>
      </c>
      <c r="F106" s="45" t="n">
        <v>50.7</v>
      </c>
      <c r="G106" s="46" t="n">
        <v>0.269</v>
      </c>
      <c r="H106" s="46" t="n">
        <v>0.045</v>
      </c>
      <c r="I106" s="46" t="n">
        <v>0.8738</v>
      </c>
      <c r="J106" s="46" t="n">
        <f aca="false" t="array" ref="J106:J106">O106/N106</f>
        <v>0.0806860708850583</v>
      </c>
      <c r="K106" s="48" t="n">
        <f aca="false" t="array" ref="K106:K106">C106/O106</f>
        <v>1.77935943060498</v>
      </c>
      <c r="L106" s="48" t="n">
        <f aca="false" t="array" ref="L106:L106">C106/P106</f>
        <v>15.8898305084746</v>
      </c>
      <c r="M106" s="49" t="e">
        <f aca="false" t="array" ref="M106:M106">C106/Q106</f>
        <v>#VALUE!</v>
      </c>
      <c r="N106" s="45" t="n">
        <v>208958</v>
      </c>
      <c r="O106" s="45" t="n">
        <v>16860</v>
      </c>
      <c r="P106" s="45" t="n">
        <v>1888</v>
      </c>
      <c r="Q106" s="44" t="s">
        <v>34</v>
      </c>
      <c r="R106" s="46" t="n">
        <v>0.892</v>
      </c>
      <c r="S106" s="46" t="n">
        <v>0.004</v>
      </c>
      <c r="T106" s="44" t="s">
        <v>34</v>
      </c>
      <c r="U106" s="46" t="n">
        <v>0.2143</v>
      </c>
      <c r="V106" s="77"/>
      <c r="W106" s="73"/>
      <c r="X106" s="73"/>
      <c r="Y106" s="73"/>
      <c r="Z106" s="78"/>
      <c r="AA106" s="89" t="s">
        <v>154</v>
      </c>
    </row>
    <row r="107" customFormat="false" ht="18" hidden="false" customHeight="true" outlineLevel="0" collapsed="false">
      <c r="A107" s="44" t="s">
        <v>32</v>
      </c>
      <c r="B107" s="45" t="n">
        <v>32000</v>
      </c>
      <c r="C107" s="45" t="n">
        <v>38000</v>
      </c>
      <c r="D107" s="44" t="s">
        <v>36</v>
      </c>
      <c r="E107" s="45" t="str">
        <f aca="false" t="array" ref="E107:E107">IF(F107&gt;100,"T1",IF(F107&gt;50,"T2",IF(F107&gt;10,"T3",IF(F107&gt;1,"T4",IF(F107=0,"TBD","T5")))))</f>
        <v>T3</v>
      </c>
      <c r="F107" s="45" t="n">
        <v>26.5</v>
      </c>
      <c r="G107" s="46" t="n">
        <v>0.319</v>
      </c>
      <c r="H107" s="46" t="n">
        <v>0.054</v>
      </c>
      <c r="I107" s="46" t="n">
        <v>0.8653</v>
      </c>
      <c r="J107" s="46" t="n">
        <f aca="false" t="array" ref="J107:J107">O107/N107</f>
        <v>0.131038993397284</v>
      </c>
      <c r="K107" s="48" t="n">
        <f aca="false" t="array" ref="K107:K107">C107/O107</f>
        <v>0.903170604173599</v>
      </c>
      <c r="L107" s="48" t="n">
        <f aca="false" t="array" ref="L107:L107">C107/P107</f>
        <v>14.8379539242483</v>
      </c>
      <c r="M107" s="49" t="n">
        <f aca="false" t="array" ref="M107:M107">C107/Q107</f>
        <v>34.0196956132498</v>
      </c>
      <c r="N107" s="45" t="n">
        <v>321080</v>
      </c>
      <c r="O107" s="45" t="n">
        <v>42074</v>
      </c>
      <c r="P107" s="45" t="n">
        <v>2561</v>
      </c>
      <c r="Q107" s="45" t="n">
        <v>1117</v>
      </c>
      <c r="R107" s="46" t="n">
        <v>0.84</v>
      </c>
      <c r="S107" s="46" t="n">
        <v>0.005</v>
      </c>
      <c r="T107" s="44" t="s">
        <v>34</v>
      </c>
      <c r="U107" s="46" t="n">
        <v>0.473</v>
      </c>
      <c r="V107" s="90" t="s">
        <v>148</v>
      </c>
      <c r="W107" s="72" t="s">
        <v>140</v>
      </c>
      <c r="X107" s="72" t="s">
        <v>122</v>
      </c>
      <c r="Y107" s="72" t="s">
        <v>123</v>
      </c>
      <c r="Z107" s="78"/>
      <c r="AA107" s="79" t="s">
        <v>155</v>
      </c>
    </row>
    <row r="108" customFormat="false" ht="17.4" hidden="false" customHeight="true" outlineLevel="0" collapsed="false">
      <c r="A108" s="52" t="s">
        <v>32</v>
      </c>
      <c r="B108" s="53" t="n">
        <v>15000</v>
      </c>
      <c r="C108" s="53" t="n">
        <v>20000</v>
      </c>
      <c r="D108" s="52" t="s">
        <v>33</v>
      </c>
      <c r="E108" s="53" t="str">
        <f aca="false" t="array" ref="E108:E108">IF(F108&gt;100,"T1",IF(F108&gt;50,"T2",IF(F108&gt;10,"T3",IF(F108&gt;1,"T4",IF(F108=0,"TBD","T5")))))</f>
        <v>T3</v>
      </c>
      <c r="F108" s="53" t="n">
        <v>22.7</v>
      </c>
      <c r="G108" s="54" t="n">
        <v>0.253</v>
      </c>
      <c r="H108" s="54" t="n">
        <v>0.093</v>
      </c>
      <c r="I108" s="54" t="n">
        <v>0.6804</v>
      </c>
      <c r="J108" s="54" t="n">
        <f aca="false" t="array" ref="J108:J108">O108/N108</f>
        <v>0.143557484930598</v>
      </c>
      <c r="K108" s="56" t="n">
        <f aca="false" t="array" ref="K108:K108">C108/O108</f>
        <v>0.385215431730195</v>
      </c>
      <c r="L108" s="56" t="n">
        <f aca="false" t="array" ref="L108:L108">C108/P108</f>
        <v>8.110300081103</v>
      </c>
      <c r="M108" s="57" t="e">
        <f aca="false" t="array" ref="M108:M108">C108/Q108</f>
        <v>#VALUE!</v>
      </c>
      <c r="N108" s="53" t="n">
        <v>361660</v>
      </c>
      <c r="O108" s="53" t="n">
        <v>51919</v>
      </c>
      <c r="P108" s="53" t="n">
        <v>2466</v>
      </c>
      <c r="Q108" s="52" t="s">
        <v>34</v>
      </c>
      <c r="R108" s="54" t="n">
        <v>0.933</v>
      </c>
      <c r="S108" s="54" t="n">
        <v>0.001</v>
      </c>
      <c r="T108" s="52" t="s">
        <v>34</v>
      </c>
      <c r="U108" s="52" t="s">
        <v>34</v>
      </c>
      <c r="V108" s="107"/>
      <c r="W108" s="92"/>
      <c r="X108" s="92"/>
      <c r="Y108" s="92"/>
      <c r="Z108" s="108"/>
      <c r="AA108" s="89" t="s">
        <v>156</v>
      </c>
    </row>
    <row r="109" customFormat="false" ht="18" hidden="false" customHeight="true" outlineLevel="0" collapsed="false">
      <c r="A109" s="33"/>
      <c r="B109" s="33"/>
      <c r="C109" s="33"/>
      <c r="D109" s="33"/>
      <c r="E109" s="33"/>
      <c r="F109" s="33"/>
      <c r="G109" s="98"/>
      <c r="H109" s="98"/>
      <c r="I109" s="98"/>
      <c r="J109" s="98"/>
      <c r="K109" s="99"/>
      <c r="L109" s="99"/>
      <c r="M109" s="100"/>
      <c r="N109" s="100"/>
      <c r="O109" s="100"/>
      <c r="P109" s="100"/>
      <c r="Q109" s="100"/>
      <c r="R109" s="98"/>
      <c r="S109" s="98"/>
      <c r="T109" s="98"/>
      <c r="U109" s="98"/>
      <c r="V109" s="101"/>
      <c r="W109" s="33"/>
      <c r="X109" s="33"/>
      <c r="Y109" s="33"/>
      <c r="Z109" s="33"/>
      <c r="AA109" s="109"/>
    </row>
    <row r="110" customFormat="false" ht="18.9" hidden="false" customHeight="true" outlineLevel="0" collapsed="false">
      <c r="A110" s="35" t="s">
        <v>32</v>
      </c>
      <c r="B110" s="36" t="n">
        <v>65000</v>
      </c>
      <c r="C110" s="36" t="n">
        <v>70000</v>
      </c>
      <c r="D110" s="35" t="s">
        <v>36</v>
      </c>
      <c r="E110" s="36" t="str">
        <f aca="false" t="array" ref="E110:E110">IF(F110&gt;100,"T1",IF(F110&gt;50,"T2",IF(F110&gt;10,"T3",IF(F110&gt;1,"T4",IF(F110=0,"TBD","T5")))))</f>
        <v>T2</v>
      </c>
      <c r="F110" s="36" t="n">
        <v>60.8</v>
      </c>
      <c r="G110" s="37" t="n">
        <v>0.24</v>
      </c>
      <c r="H110" s="37" t="n">
        <v>0.029</v>
      </c>
      <c r="I110" s="37" t="n">
        <v>0.9459</v>
      </c>
      <c r="J110" s="37" t="n">
        <f aca="false" t="array" ref="J110:J110">O110/N110</f>
        <v>0.574027591673429</v>
      </c>
      <c r="K110" s="39" t="n">
        <f aca="false" t="array" ref="K110:K110">C110/O110</f>
        <v>1.15071015255129</v>
      </c>
      <c r="L110" s="39" t="n">
        <f aca="false" t="array" ref="L110:L110">C110/P110</f>
        <v>14.002800560112</v>
      </c>
      <c r="M110" s="40" t="n">
        <f aca="false" t="array" ref="M110:M110">C110/Q110</f>
        <v>24.4755244755245</v>
      </c>
      <c r="N110" s="40" t="n">
        <v>105974</v>
      </c>
      <c r="O110" s="36" t="n">
        <v>60832</v>
      </c>
      <c r="P110" s="40" t="n">
        <v>4999</v>
      </c>
      <c r="Q110" s="36" t="n">
        <v>2860</v>
      </c>
      <c r="R110" s="37" t="n">
        <v>0.849</v>
      </c>
      <c r="S110" s="37" t="n">
        <v>0.001</v>
      </c>
      <c r="T110" s="35" t="s">
        <v>34</v>
      </c>
      <c r="U110" s="37" t="n">
        <v>0.5856</v>
      </c>
      <c r="V110" s="102"/>
      <c r="W110" s="83"/>
      <c r="X110" s="83"/>
      <c r="Y110" s="83"/>
      <c r="Z110" s="83"/>
      <c r="AA110" s="105" t="s">
        <v>103</v>
      </c>
    </row>
    <row r="111" customFormat="false" ht="18.9" hidden="false" customHeight="true" outlineLevel="0" collapsed="false">
      <c r="A111" s="44" t="s">
        <v>32</v>
      </c>
      <c r="B111" s="45" t="n">
        <v>45000</v>
      </c>
      <c r="C111" s="45" t="n">
        <v>50000</v>
      </c>
      <c r="D111" s="44" t="s">
        <v>36</v>
      </c>
      <c r="E111" s="45" t="str">
        <f aca="false" t="array" ref="E111:E111">IF(F111&gt;100,"T1",IF(F111&gt;50,"T2",IF(F111&gt;10,"T3",IF(F111&gt;1,"T4",IF(F111=0,"TBD","T5")))))</f>
        <v>T2</v>
      </c>
      <c r="F111" s="45" t="n">
        <v>64</v>
      </c>
      <c r="G111" s="46" t="n">
        <v>0.534</v>
      </c>
      <c r="H111" s="46" t="n">
        <v>0.02</v>
      </c>
      <c r="I111" s="46" t="n">
        <v>0.8813</v>
      </c>
      <c r="J111" s="46" t="n">
        <f aca="false" t="array" ref="J111:J111">O111/N111</f>
        <v>0.0884821670805768</v>
      </c>
      <c r="K111" s="48" t="n">
        <f aca="false" t="array" ref="K111:K111">C111/O111</f>
        <v>2.35860182084061</v>
      </c>
      <c r="L111" s="48" t="n">
        <f aca="false" t="array" ref="L111:L111">C111/P111</f>
        <v>19.6001568012544</v>
      </c>
      <c r="M111" s="49" t="n">
        <f aca="false" t="array" ref="M111:M111">C111/Q111</f>
        <v>543.478260869565</v>
      </c>
      <c r="N111" s="49" t="n">
        <v>239585</v>
      </c>
      <c r="O111" s="49" t="n">
        <v>21199</v>
      </c>
      <c r="P111" s="49" t="n">
        <v>2551</v>
      </c>
      <c r="Q111" s="45" t="n">
        <v>92</v>
      </c>
      <c r="R111" s="46" t="n">
        <v>0.692</v>
      </c>
      <c r="S111" s="46" t="n">
        <v>0.021</v>
      </c>
      <c r="T111" s="46" t="n">
        <v>0.0351</v>
      </c>
      <c r="U111" s="46" t="n">
        <v>0.3684</v>
      </c>
      <c r="V111" s="77"/>
      <c r="W111" s="73"/>
      <c r="X111" s="73"/>
      <c r="Y111" s="73"/>
      <c r="Z111" s="73"/>
      <c r="AA111" s="90" t="s">
        <v>130</v>
      </c>
    </row>
    <row r="112" customFormat="false" ht="18.9" hidden="false" customHeight="true" outlineLevel="0" collapsed="false">
      <c r="A112" s="44" t="s">
        <v>32</v>
      </c>
      <c r="B112" s="45" t="n">
        <v>3500</v>
      </c>
      <c r="C112" s="45" t="n">
        <v>2500</v>
      </c>
      <c r="D112" s="44" t="s">
        <v>33</v>
      </c>
      <c r="E112" s="45" t="str">
        <f aca="false" t="array" ref="E112:E112">IF(F112&gt;100,"T1",IF(F112&gt;50,"T2",IF(F112&gt;10,"T3",IF(F112&gt;1,"T4",IF(F112=0,"TBD","T5")))))</f>
        <v>T4</v>
      </c>
      <c r="F112" s="45" t="n">
        <v>5.9</v>
      </c>
      <c r="G112" s="46" t="n">
        <v>0.378</v>
      </c>
      <c r="H112" s="46" t="n">
        <v>0.035</v>
      </c>
      <c r="I112" s="46" t="n">
        <v>0.9012</v>
      </c>
      <c r="J112" s="46" t="n">
        <f aca="false" t="array" ref="J112:J112">O112/N112</f>
        <v>0.245334729859475</v>
      </c>
      <c r="K112" s="48" t="n">
        <f aca="false" t="array" ref="K112:K112">B112/O112</f>
        <v>0.249039419382382</v>
      </c>
      <c r="L112" s="48" t="n">
        <f aca="false" t="array" ref="L112:L112">B112/P112</f>
        <v>3.88026607538803</v>
      </c>
      <c r="M112" s="49" t="n">
        <f aca="false" t="array" ref="M112:M112">B112/Q112</f>
        <v>13.3079847908745</v>
      </c>
      <c r="N112" s="45" t="n">
        <v>57285</v>
      </c>
      <c r="O112" s="45" t="n">
        <v>14054</v>
      </c>
      <c r="P112" s="45" t="n">
        <v>902</v>
      </c>
      <c r="Q112" s="45" t="n">
        <v>263</v>
      </c>
      <c r="R112" s="46" t="n">
        <v>0.774</v>
      </c>
      <c r="S112" s="46" t="n">
        <v>0.152</v>
      </c>
      <c r="T112" s="44" t="s">
        <v>34</v>
      </c>
      <c r="U112" s="44" t="s">
        <v>34</v>
      </c>
      <c r="V112" s="77"/>
      <c r="W112" s="73"/>
      <c r="X112" s="73"/>
      <c r="Y112" s="73"/>
      <c r="Z112" s="73"/>
      <c r="AA112" s="90" t="s">
        <v>157</v>
      </c>
    </row>
    <row r="113" customFormat="false" ht="18.9" hidden="false" customHeight="true" outlineLevel="0" collapsed="false">
      <c r="A113" s="44" t="s">
        <v>32</v>
      </c>
      <c r="B113" s="45" t="n">
        <v>6000</v>
      </c>
      <c r="C113" s="45" t="n">
        <v>7500</v>
      </c>
      <c r="D113" s="44" t="s">
        <v>33</v>
      </c>
      <c r="E113" s="45" t="str">
        <f aca="false" t="array" ref="E113:E113">IF(F113&gt;100,"T1",IF(F113&gt;50,"T2",IF(F113&gt;10,"T3",IF(F113&gt;1,"T4",IF(F113=0,"TBD","T5")))))</f>
        <v>T4</v>
      </c>
      <c r="F113" s="45" t="n">
        <v>8.3</v>
      </c>
      <c r="G113" s="46" t="n">
        <v>0.265</v>
      </c>
      <c r="H113" s="46" t="n">
        <v>0.032</v>
      </c>
      <c r="I113" s="46" t="n">
        <v>0.9229</v>
      </c>
      <c r="J113" s="46" t="n">
        <f aca="false" t="array" ref="J113:J113">O113/N113</f>
        <v>0.823545454545454</v>
      </c>
      <c r="K113" s="48" t="n">
        <f aca="false" t="array" ref="K113:K113">B113/O113</f>
        <v>0.220774919969091</v>
      </c>
      <c r="L113" s="48" t="n">
        <f aca="false" t="array" ref="L113:L113">B113/P113</f>
        <v>81.0810810810811</v>
      </c>
      <c r="M113" s="49" t="n">
        <f aca="false" t="array" ref="M113:M113">B113/Q113</f>
        <v>19.2307692307692</v>
      </c>
      <c r="N113" s="45" t="n">
        <v>33000</v>
      </c>
      <c r="O113" s="45" t="n">
        <v>27177</v>
      </c>
      <c r="P113" s="45" t="n">
        <v>74</v>
      </c>
      <c r="Q113" s="45" t="n">
        <v>312</v>
      </c>
      <c r="R113" s="46" t="n">
        <v>0.842</v>
      </c>
      <c r="S113" s="46" t="n">
        <v>0.007</v>
      </c>
      <c r="T113" s="46" t="n">
        <v>0.3918</v>
      </c>
      <c r="U113" s="44" t="s">
        <v>34</v>
      </c>
      <c r="V113" s="77"/>
      <c r="W113" s="73"/>
      <c r="X113" s="73"/>
      <c r="Y113" s="73"/>
      <c r="Z113" s="73"/>
      <c r="AA113" s="90" t="s">
        <v>158</v>
      </c>
    </row>
    <row r="114" customFormat="false" ht="18.9" hidden="false" customHeight="true" outlineLevel="0" collapsed="false">
      <c r="A114" s="44" t="s">
        <v>32</v>
      </c>
      <c r="B114" s="45" t="n">
        <v>2800</v>
      </c>
      <c r="C114" s="45" t="n">
        <v>3000</v>
      </c>
      <c r="D114" s="44" t="s">
        <v>33</v>
      </c>
      <c r="E114" s="45" t="str">
        <f aca="false" t="array" ref="E114:E114">IF(F114&gt;100,"T1",IF(F114&gt;50,"T2",IF(F114&gt;10,"T3",IF(F114&gt;1,"T4",IF(F114=0,"TBD","T5")))))</f>
        <v>T4</v>
      </c>
      <c r="F114" s="45" t="n">
        <v>3.2</v>
      </c>
      <c r="G114" s="46" t="n">
        <v>0.301</v>
      </c>
      <c r="H114" s="46" t="n">
        <v>0.064</v>
      </c>
      <c r="I114" s="46" t="n">
        <v>0.8484</v>
      </c>
      <c r="J114" s="46" t="n">
        <f aca="false" t="array" ref="J114:J114">O114/N114</f>
        <v>0.86943836615609</v>
      </c>
      <c r="K114" s="48" t="n">
        <f aca="false" t="array" ref="K114:K114">B114/O114</f>
        <v>0.0903458957150232</v>
      </c>
      <c r="L114" s="48" t="n">
        <f aca="false" t="array" ref="L114:L114">B114/P114</f>
        <v>7.97720797720798</v>
      </c>
      <c r="M114" s="49" t="n">
        <f aca="false" t="array" ref="M114:M114">B114/Q114</f>
        <v>1.45605824232969</v>
      </c>
      <c r="N114" s="45" t="n">
        <v>35646</v>
      </c>
      <c r="O114" s="45" t="n">
        <v>30992</v>
      </c>
      <c r="P114" s="45" t="n">
        <v>351</v>
      </c>
      <c r="Q114" s="45" t="n">
        <v>1923</v>
      </c>
      <c r="R114" s="46" t="n">
        <v>0.853</v>
      </c>
      <c r="S114" s="46" t="n">
        <v>0.135</v>
      </c>
      <c r="T114" s="46" t="n">
        <v>0.6338</v>
      </c>
      <c r="U114" s="44" t="s">
        <v>34</v>
      </c>
      <c r="V114" s="77"/>
      <c r="W114" s="73"/>
      <c r="X114" s="73"/>
      <c r="Y114" s="73"/>
      <c r="Z114" s="73"/>
      <c r="AA114" s="90" t="s">
        <v>158</v>
      </c>
    </row>
    <row r="115" customFormat="false" ht="18.9" hidden="false" customHeight="true" outlineLevel="0" collapsed="false">
      <c r="A115" s="44" t="s">
        <v>32</v>
      </c>
      <c r="B115" s="45" t="n">
        <v>5000</v>
      </c>
      <c r="C115" s="44" t="s">
        <v>38</v>
      </c>
      <c r="D115" s="44" t="s">
        <v>33</v>
      </c>
      <c r="E115" s="45" t="str">
        <f aca="false" t="array" ref="E115:E115">IF(F115&gt;100,"T1",IF(F115&gt;50,"T2",IF(F115&gt;10,"T3",IF(F115&gt;1,"T4",IF(F115=0,"TBD","T5")))))</f>
        <v>T4</v>
      </c>
      <c r="F115" s="45" t="n">
        <v>3.8</v>
      </c>
      <c r="G115" s="46" t="n">
        <v>0.17</v>
      </c>
      <c r="H115" s="46" t="n">
        <v>0.072</v>
      </c>
      <c r="I115" s="46" t="n">
        <v>0.8998</v>
      </c>
      <c r="J115" s="46" t="n">
        <f aca="false" t="array" ref="J115:J115">O115/N115</f>
        <v>0.0672918342033884</v>
      </c>
      <c r="K115" s="48" t="n">
        <f aca="false" t="array" ref="K115:K115">B115/O115</f>
        <v>1.01276078590237</v>
      </c>
      <c r="L115" s="48" t="n">
        <f aca="false" t="array" ref="L115:L115">B115/P115</f>
        <v>11.0132158590308</v>
      </c>
      <c r="M115" s="49" t="n">
        <f aca="false" t="array" ref="M115:M115">B115/Q115</f>
        <v>21.551724137931</v>
      </c>
      <c r="N115" s="45" t="n">
        <v>73367</v>
      </c>
      <c r="O115" s="45" t="n">
        <v>4937</v>
      </c>
      <c r="P115" s="45" t="n">
        <v>454</v>
      </c>
      <c r="Q115" s="45" t="n">
        <v>232</v>
      </c>
      <c r="R115" s="46" t="n">
        <v>0.785</v>
      </c>
      <c r="S115" s="46" t="n">
        <v>0.133</v>
      </c>
      <c r="T115" s="46" t="n">
        <v>0.2949</v>
      </c>
      <c r="U115" s="44" t="s">
        <v>34</v>
      </c>
      <c r="V115" s="77"/>
      <c r="W115" s="73"/>
      <c r="X115" s="73"/>
      <c r="Y115" s="73"/>
      <c r="Z115" s="73"/>
      <c r="AA115" s="90" t="s">
        <v>159</v>
      </c>
    </row>
    <row r="116" customFormat="false" ht="18.9" hidden="false" customHeight="true" outlineLevel="0" collapsed="false">
      <c r="A116" s="44" t="s">
        <v>32</v>
      </c>
      <c r="B116" s="45" t="n">
        <v>1000</v>
      </c>
      <c r="C116" s="45" t="n">
        <v>800</v>
      </c>
      <c r="D116" s="44" t="s">
        <v>36</v>
      </c>
      <c r="E116" s="45" t="str">
        <f aca="false" t="array" ref="E116:E116">IF(F116&gt;100,"T1",IF(F116&gt;50,"T2",IF(F116&gt;10,"T3",IF(F116&gt;1,"T4",IF(F116=0,"TBD","T5")))))</f>
        <v>T4</v>
      </c>
      <c r="F116" s="45" t="n">
        <v>3.5</v>
      </c>
      <c r="G116" s="46" t="n">
        <v>0.576</v>
      </c>
      <c r="H116" s="46" t="n">
        <v>0.018</v>
      </c>
      <c r="I116" s="46" t="n">
        <v>0.8428</v>
      </c>
      <c r="J116" s="46" t="n">
        <f aca="false" t="array" ref="J116:J116">O116/N116</f>
        <v>0.105669611644315</v>
      </c>
      <c r="K116" s="48" t="n">
        <f aca="false" t="array" ref="K116:K116">B116/O116</f>
        <v>0.013076168682576</v>
      </c>
      <c r="L116" s="48" t="n">
        <f aca="false" t="array" ref="L116:L116">B116/P116</f>
        <v>0.301114122252334</v>
      </c>
      <c r="M116" s="49" t="n">
        <f aca="false" t="array" ref="M116:M116">B116/Q116</f>
        <v>3.7037037037037</v>
      </c>
      <c r="N116" s="45" t="n">
        <v>723718</v>
      </c>
      <c r="O116" s="45" t="n">
        <v>76475</v>
      </c>
      <c r="P116" s="45" t="n">
        <v>3321</v>
      </c>
      <c r="Q116" s="45" t="n">
        <v>270</v>
      </c>
      <c r="R116" s="46" t="n">
        <v>0.957</v>
      </c>
      <c r="S116" s="46" t="n">
        <v>0.026</v>
      </c>
      <c r="T116" s="46" t="n">
        <v>0.7131</v>
      </c>
      <c r="U116" s="44" t="s">
        <v>34</v>
      </c>
      <c r="V116" s="77"/>
      <c r="W116" s="73"/>
      <c r="X116" s="73"/>
      <c r="Y116" s="73"/>
      <c r="Z116" s="73"/>
      <c r="AA116" s="90" t="s">
        <v>160</v>
      </c>
    </row>
    <row r="117" customFormat="false" ht="18.9" hidden="false" customHeight="true" outlineLevel="0" collapsed="false">
      <c r="A117" s="44" t="s">
        <v>32</v>
      </c>
      <c r="B117" s="45" t="n">
        <v>3000</v>
      </c>
      <c r="C117" s="44" t="s">
        <v>38</v>
      </c>
      <c r="D117" s="44" t="s">
        <v>33</v>
      </c>
      <c r="E117" s="45" t="str">
        <f aca="false" t="array" ref="E117:E117">IF(F117&gt;100,"T1",IF(F117&gt;50,"T2",IF(F117&gt;10,"T3",IF(F117&gt;1,"T4",IF(F117=0,"TBD","T5")))))</f>
        <v>T4</v>
      </c>
      <c r="F117" s="45" t="n">
        <v>2.9</v>
      </c>
      <c r="G117" s="46" t="n">
        <v>0.4</v>
      </c>
      <c r="H117" s="46" t="n">
        <v>0.058</v>
      </c>
      <c r="I117" s="46" t="n">
        <v>0.8439</v>
      </c>
      <c r="J117" s="46" t="n">
        <f aca="false" t="array" ref="J117:J117">O117/N117</f>
        <v>0.135681586978637</v>
      </c>
      <c r="K117" s="48" t="n">
        <f aca="false" t="array" ref="K117:K117">B117/O117</f>
        <v>1.4058106841612</v>
      </c>
      <c r="L117" s="48" t="n">
        <f aca="false" t="array" ref="L117:L117">B117/P117</f>
        <v>8.19672131147541</v>
      </c>
      <c r="M117" s="49" t="n">
        <f aca="false" t="array" ref="M117:M117">B117/Q117</f>
        <v>49.1803278688525</v>
      </c>
      <c r="N117" s="45" t="n">
        <v>15728</v>
      </c>
      <c r="O117" s="45" t="n">
        <v>2134</v>
      </c>
      <c r="P117" s="45" t="n">
        <v>366</v>
      </c>
      <c r="Q117" s="45" t="n">
        <v>61</v>
      </c>
      <c r="R117" s="46" t="n">
        <v>0.715</v>
      </c>
      <c r="S117" s="46" t="n">
        <v>0.227</v>
      </c>
      <c r="T117" s="46" t="n">
        <v>0.2856</v>
      </c>
      <c r="U117" s="44" t="s">
        <v>34</v>
      </c>
      <c r="V117" s="77"/>
      <c r="W117" s="73"/>
      <c r="X117" s="73"/>
      <c r="Y117" s="73"/>
      <c r="Z117" s="73"/>
      <c r="AA117" s="90" t="s">
        <v>158</v>
      </c>
    </row>
    <row r="118" customFormat="false" ht="18.9" hidden="false" customHeight="true" outlineLevel="0" collapsed="false">
      <c r="A118" s="44" t="s">
        <v>32</v>
      </c>
      <c r="B118" s="45" t="n">
        <v>28000</v>
      </c>
      <c r="C118" s="45" t="n">
        <v>40000</v>
      </c>
      <c r="D118" s="44" t="s">
        <v>33</v>
      </c>
      <c r="E118" s="45" t="str">
        <f aca="false" t="array" ref="E118:E118">IF(F118&gt;100,"T1",IF(F118&gt;50,"T2",IF(F118&gt;10,"T3",IF(F118&gt;1,"T4",IF(F118=0,"TBD","T5")))))</f>
        <v>T2</v>
      </c>
      <c r="F118" s="45" t="n">
        <v>82.7</v>
      </c>
      <c r="G118" s="46" t="n">
        <v>0.465</v>
      </c>
      <c r="H118" s="46" t="n">
        <v>0.032</v>
      </c>
      <c r="I118" s="46" t="n">
        <v>0.6788</v>
      </c>
      <c r="J118" s="46" t="n">
        <f aca="false" t="array" ref="J118:J118">O118/N118</f>
        <v>0.177551246362141</v>
      </c>
      <c r="K118" s="48" t="n">
        <f aca="false" t="array" ref="K118:K118">C118/O118</f>
        <v>1.78165783261325</v>
      </c>
      <c r="L118" s="48" t="n">
        <f aca="false" t="array" ref="L118:L118">C118/P118</f>
        <v>11.1234705228031</v>
      </c>
      <c r="M118" s="49" t="n">
        <f aca="false" t="array" ref="M118:M118">C118/Q118</f>
        <v>50.761421319797</v>
      </c>
      <c r="N118" s="49" t="n">
        <v>126448</v>
      </c>
      <c r="O118" s="49" t="n">
        <v>22451</v>
      </c>
      <c r="P118" s="49" t="n">
        <v>3596</v>
      </c>
      <c r="Q118" s="45" t="n">
        <v>788</v>
      </c>
      <c r="R118" s="46" t="n">
        <v>0.913</v>
      </c>
      <c r="S118" s="46" t="n">
        <v>0.005</v>
      </c>
      <c r="T118" s="44" t="s">
        <v>34</v>
      </c>
      <c r="U118" s="46" t="n">
        <v>0.4751</v>
      </c>
      <c r="V118" s="90" t="s">
        <v>161</v>
      </c>
      <c r="W118" s="72" t="s">
        <v>56</v>
      </c>
      <c r="X118" s="72" t="s">
        <v>92</v>
      </c>
      <c r="Y118" s="72" t="s">
        <v>162</v>
      </c>
      <c r="Z118" s="73"/>
      <c r="AA118" s="90" t="s">
        <v>163</v>
      </c>
    </row>
    <row r="119" customFormat="false" ht="18.9" hidden="false" customHeight="true" outlineLevel="0" collapsed="false">
      <c r="A119" s="44" t="s">
        <v>32</v>
      </c>
      <c r="B119" s="45" t="n">
        <v>15000</v>
      </c>
      <c r="C119" s="45" t="n">
        <v>18000</v>
      </c>
      <c r="D119" s="44" t="s">
        <v>33</v>
      </c>
      <c r="E119" s="45" t="str">
        <f aca="false" t="array" ref="E119:E119">IF(F119&gt;100,"T1",IF(F119&gt;50,"T2",IF(F119&gt;10,"T3",IF(F119&gt;1,"T4",IF(F119=0,"TBD","T5")))))</f>
        <v>T3</v>
      </c>
      <c r="F119" s="45" t="n">
        <v>14.6</v>
      </c>
      <c r="G119" s="46" t="n">
        <v>0.285</v>
      </c>
      <c r="H119" s="46" t="n">
        <v>0.059</v>
      </c>
      <c r="I119" s="46" t="n">
        <v>0.9279</v>
      </c>
      <c r="J119" s="46" t="n">
        <f aca="false" t="array" ref="J119:J119">O119/N119</f>
        <v>0.265047128917418</v>
      </c>
      <c r="K119" s="48" t="n">
        <f aca="false" t="array" ref="K119:K119">C119/O119</f>
        <v>1.25269677778551</v>
      </c>
      <c r="L119" s="48" t="n">
        <f aca="false" t="array" ref="L119:L119">C119/P119</f>
        <v>0.965820679293878</v>
      </c>
      <c r="M119" s="49" t="n">
        <f aca="false" t="array" ref="M119:M119">C119/Q119</f>
        <v>104.046242774566</v>
      </c>
      <c r="N119" s="49" t="n">
        <v>54213</v>
      </c>
      <c r="O119" s="49" t="n">
        <v>14369</v>
      </c>
      <c r="P119" s="49" t="n">
        <v>18637</v>
      </c>
      <c r="Q119" s="45" t="n">
        <v>173</v>
      </c>
      <c r="R119" s="46" t="n">
        <v>0.808</v>
      </c>
      <c r="S119" s="46" t="n">
        <v>0.002</v>
      </c>
      <c r="T119" s="44" t="s">
        <v>34</v>
      </c>
      <c r="U119" s="46" t="n">
        <v>0.1074</v>
      </c>
      <c r="V119" s="77"/>
      <c r="W119" s="73"/>
      <c r="X119" s="73"/>
      <c r="Y119" s="73"/>
      <c r="Z119" s="73"/>
      <c r="AA119" s="105" t="s">
        <v>103</v>
      </c>
    </row>
    <row r="120" customFormat="false" ht="18.9" hidden="false" customHeight="true" outlineLevel="0" collapsed="false">
      <c r="A120" s="44" t="s">
        <v>32</v>
      </c>
      <c r="B120" s="45" t="n">
        <v>3000</v>
      </c>
      <c r="C120" s="45" t="n">
        <v>5500</v>
      </c>
      <c r="D120" s="44" t="s">
        <v>36</v>
      </c>
      <c r="E120" s="45" t="str">
        <f aca="false" t="array" ref="E120:E120">IF(F120&gt;100,"T1",IF(F120&gt;50,"T2",IF(F120&gt;10,"T3",IF(F120&gt;1,"T4",IF(F120=0,"TBD","T5")))))</f>
        <v>T3</v>
      </c>
      <c r="F120" s="45" t="n">
        <v>18.3</v>
      </c>
      <c r="G120" s="46" t="n">
        <v>0.502</v>
      </c>
      <c r="H120" s="46" t="n">
        <v>0.035</v>
      </c>
      <c r="I120" s="46" t="n">
        <v>0.9381</v>
      </c>
      <c r="J120" s="46" t="n">
        <f aca="false" t="array" ref="J120:J120">O120/N120</f>
        <v>0.134988196580585</v>
      </c>
      <c r="K120" s="48" t="n">
        <f aca="false" t="array" ref="K120:K120">C120/O120</f>
        <v>1.45733969263381</v>
      </c>
      <c r="L120" s="48" t="n">
        <f aca="false" t="array" ref="L120:L120">C120/P120</f>
        <v>17.8571428571429</v>
      </c>
      <c r="M120" s="49" t="e">
        <f aca="false" t="array" ref="M120:M120">C120/Q120</f>
        <v>#VALUE!</v>
      </c>
      <c r="N120" s="49" t="n">
        <v>27958</v>
      </c>
      <c r="O120" s="49" t="n">
        <v>3774</v>
      </c>
      <c r="P120" s="49" t="n">
        <v>308</v>
      </c>
      <c r="Q120" s="44" t="s">
        <v>38</v>
      </c>
      <c r="R120" s="46" t="n">
        <v>0.72</v>
      </c>
      <c r="S120" s="46" t="n">
        <v>0.003</v>
      </c>
      <c r="T120" s="44" t="s">
        <v>34</v>
      </c>
      <c r="U120" s="44" t="s">
        <v>34</v>
      </c>
      <c r="V120" s="77"/>
      <c r="W120" s="73"/>
      <c r="X120" s="73"/>
      <c r="Y120" s="73"/>
      <c r="Z120" s="73"/>
      <c r="AA120" s="90" t="s">
        <v>164</v>
      </c>
    </row>
    <row r="121" customFormat="false" ht="18.9" hidden="false" customHeight="true" outlineLevel="0" collapsed="false">
      <c r="A121" s="44" t="s">
        <v>32</v>
      </c>
      <c r="B121" s="45" t="n">
        <v>4000</v>
      </c>
      <c r="C121" s="45" t="n">
        <v>6000</v>
      </c>
      <c r="D121" s="44" t="s">
        <v>36</v>
      </c>
      <c r="E121" s="45" t="str">
        <f aca="false" t="array" ref="E121:E121">IF(F121&gt;100,"T1",IF(F121&gt;50,"T2",IF(F121&gt;10,"T3",IF(F121&gt;1,"T4",IF(F121=0,"TBD","T5")))))</f>
        <v>T4</v>
      </c>
      <c r="F121" s="45" t="n">
        <v>2.3</v>
      </c>
      <c r="G121" s="46" t="n">
        <v>0.596</v>
      </c>
      <c r="H121" s="46" t="n">
        <v>0.016</v>
      </c>
      <c r="I121" s="46" t="n">
        <v>0.9017</v>
      </c>
      <c r="J121" s="46" t="n">
        <f aca="false" t="array" ref="J121:J121">O121/N121</f>
        <v>0.134618844838961</v>
      </c>
      <c r="K121" s="48" t="n">
        <f aca="false" t="array" ref="K121:K121">C121/O121</f>
        <v>0.668300289596792</v>
      </c>
      <c r="L121" s="48" t="n">
        <f aca="false" t="array" ref="L121:L121">C121/P121</f>
        <v>11.2359550561798</v>
      </c>
      <c r="M121" s="49" t="n">
        <f aca="false" t="array" ref="M121:M121">C121/Q121</f>
        <v>750</v>
      </c>
      <c r="N121" s="49" t="n">
        <v>66692</v>
      </c>
      <c r="O121" s="49" t="n">
        <v>8978</v>
      </c>
      <c r="P121" s="49" t="n">
        <v>534</v>
      </c>
      <c r="Q121" s="45" t="n">
        <v>8</v>
      </c>
      <c r="R121" s="46" t="n">
        <v>0.565</v>
      </c>
      <c r="S121" s="46" t="n">
        <v>0.024</v>
      </c>
      <c r="T121" s="44" t="s">
        <v>34</v>
      </c>
      <c r="U121" s="44" t="s">
        <v>34</v>
      </c>
      <c r="V121" s="77"/>
      <c r="W121" s="73"/>
      <c r="X121" s="73"/>
      <c r="Y121" s="73"/>
      <c r="Z121" s="73"/>
      <c r="AA121" s="90" t="s">
        <v>130</v>
      </c>
    </row>
    <row r="122" customFormat="false" ht="18.9" hidden="false" customHeight="true" outlineLevel="0" collapsed="false">
      <c r="A122" s="44" t="s">
        <v>32</v>
      </c>
      <c r="B122" s="45" t="n">
        <v>4000</v>
      </c>
      <c r="C122" s="45" t="n">
        <v>4500</v>
      </c>
      <c r="D122" s="44" t="s">
        <v>33</v>
      </c>
      <c r="E122" s="45" t="str">
        <f aca="false" t="array" ref="E122:E122">IF(F122&gt;100,"T1",IF(F122&gt;50,"T2",IF(F122&gt;10,"T3",IF(F122&gt;1,"T4",IF(F122=0,"TBD","T5")))))</f>
        <v>T4</v>
      </c>
      <c r="F122" s="45" t="n">
        <v>3.1</v>
      </c>
      <c r="G122" s="46" t="n">
        <v>0.395</v>
      </c>
      <c r="H122" s="46" t="n">
        <v>0.024</v>
      </c>
      <c r="I122" s="46" t="n">
        <v>0.9448</v>
      </c>
      <c r="J122" s="46" t="n">
        <f aca="false" t="array" ref="J122:J122">O122/N122</f>
        <v>0.103731746890211</v>
      </c>
      <c r="K122" s="48" t="n">
        <f aca="false" t="array" ref="K122:K122">B122/O122</f>
        <v>2.08550573514077</v>
      </c>
      <c r="L122" s="48" t="n">
        <f aca="false" t="array" ref="L122:L122">B122/P122</f>
        <v>11.5942028985507</v>
      </c>
      <c r="M122" s="49" t="n">
        <f aca="false" t="array" ref="M122:M122">B122/Q122</f>
        <v>14.2348754448399</v>
      </c>
      <c r="N122" s="45" t="n">
        <v>18490</v>
      </c>
      <c r="O122" s="45" t="n">
        <v>1918</v>
      </c>
      <c r="P122" s="45" t="n">
        <v>345</v>
      </c>
      <c r="Q122" s="45" t="n">
        <v>281</v>
      </c>
      <c r="R122" s="46" t="n">
        <v>0.755</v>
      </c>
      <c r="S122" s="46" t="n">
        <v>0.094</v>
      </c>
      <c r="T122" s="44" t="s">
        <v>34</v>
      </c>
      <c r="U122" s="44" t="s">
        <v>34</v>
      </c>
      <c r="V122" s="77"/>
      <c r="W122" s="73"/>
      <c r="X122" s="73"/>
      <c r="Y122" s="73"/>
      <c r="Z122" s="73"/>
      <c r="AA122" s="90" t="s">
        <v>165</v>
      </c>
    </row>
    <row r="123" customFormat="false" ht="18.9" hidden="false" customHeight="true" outlineLevel="0" collapsed="false">
      <c r="A123" s="44" t="s">
        <v>32</v>
      </c>
      <c r="B123" s="45" t="n">
        <v>4500</v>
      </c>
      <c r="C123" s="45" t="n">
        <v>6000</v>
      </c>
      <c r="D123" s="44" t="s">
        <v>33</v>
      </c>
      <c r="E123" s="45" t="str">
        <f aca="false" t="array" ref="E123:E123">IF(F123&gt;100,"T1",IF(F123&gt;50,"T2",IF(F123&gt;10,"T3",IF(F123&gt;1,"T4",IF(F123=0,"TBD","T5")))))</f>
        <v>T4</v>
      </c>
      <c r="F123" s="45" t="n">
        <v>3.1</v>
      </c>
      <c r="G123" s="46" t="n">
        <v>0.402</v>
      </c>
      <c r="H123" s="46" t="n">
        <v>0.05</v>
      </c>
      <c r="I123" s="46" t="n">
        <v>0.7577</v>
      </c>
      <c r="J123" s="46" t="n">
        <f aca="false" t="array" ref="J123:J123">O123/N123</f>
        <v>0.114883052397753</v>
      </c>
      <c r="K123" s="48" t="n">
        <f aca="false" t="array" ref="K123:K123">B123/O123</f>
        <v>0.511828935395814</v>
      </c>
      <c r="L123" s="48" t="n">
        <f aca="false" t="array" ref="L123:L123">B123/P123</f>
        <v>7.15421303656598</v>
      </c>
      <c r="M123" s="49" t="n">
        <f aca="false" t="array" ref="M123:M123">B123/Q123</f>
        <v>27.4390243902439</v>
      </c>
      <c r="N123" s="45" t="n">
        <v>76530</v>
      </c>
      <c r="O123" s="45" t="n">
        <v>8792</v>
      </c>
      <c r="P123" s="45" t="n">
        <v>629</v>
      </c>
      <c r="Q123" s="45" t="n">
        <v>164</v>
      </c>
      <c r="R123" s="46" t="n">
        <v>0.766</v>
      </c>
      <c r="S123" s="46" t="n">
        <v>0.193</v>
      </c>
      <c r="T123" s="46" t="n">
        <v>0.4633</v>
      </c>
      <c r="U123" s="44" t="s">
        <v>34</v>
      </c>
      <c r="V123" s="90" t="s">
        <v>161</v>
      </c>
      <c r="W123" s="72" t="s">
        <v>40</v>
      </c>
      <c r="X123" s="72" t="s">
        <v>132</v>
      </c>
      <c r="Y123" s="72" t="s">
        <v>41</v>
      </c>
      <c r="Z123" s="73"/>
      <c r="AA123" s="90" t="s">
        <v>166</v>
      </c>
    </row>
    <row r="124" customFormat="false" ht="18.9" hidden="false" customHeight="true" outlineLevel="0" collapsed="false">
      <c r="A124" s="52" t="s">
        <v>32</v>
      </c>
      <c r="B124" s="52" t="s">
        <v>38</v>
      </c>
      <c r="C124" s="53" t="n">
        <v>13600</v>
      </c>
      <c r="D124" s="52" t="s">
        <v>33</v>
      </c>
      <c r="E124" s="53" t="str">
        <f aca="false" t="array" ref="E124:E124">IF(F124&gt;100,"T1",IF(F124&gt;50,"T2",IF(F124&gt;10,"T3",IF(F124&gt;1,"T4",IF(F124=0,"TBD","T5")))))</f>
        <v>T3</v>
      </c>
      <c r="F124" s="53" t="n">
        <v>15.3</v>
      </c>
      <c r="G124" s="54" t="n">
        <v>0.374</v>
      </c>
      <c r="H124" s="54" t="n">
        <v>0.028</v>
      </c>
      <c r="I124" s="54" t="n">
        <v>0.9753</v>
      </c>
      <c r="J124" s="54" t="n">
        <f aca="false" t="array" ref="J124:J124">O124/N124</f>
        <v>0.194839615802827</v>
      </c>
      <c r="K124" s="56" t="n">
        <f aca="false" t="array" ref="K124:K124">C124/O124</f>
        <v>1.58121148703639</v>
      </c>
      <c r="L124" s="56" t="n">
        <f aca="false" t="array" ref="L124:L124">C124/P124</f>
        <v>6.25862862402209</v>
      </c>
      <c r="M124" s="57" t="n">
        <f aca="false" t="array" ref="M124:M124">C124/Q124</f>
        <v>53.968253968254</v>
      </c>
      <c r="N124" s="57" t="n">
        <v>44144</v>
      </c>
      <c r="O124" s="57" t="n">
        <v>8601</v>
      </c>
      <c r="P124" s="57" t="n">
        <v>2173</v>
      </c>
      <c r="Q124" s="53" t="n">
        <v>252</v>
      </c>
      <c r="R124" s="54" t="n">
        <v>0.616</v>
      </c>
      <c r="S124" s="54" t="n">
        <v>0.026</v>
      </c>
      <c r="T124" s="52" t="s">
        <v>34</v>
      </c>
      <c r="U124" s="54" t="n">
        <v>0.2669</v>
      </c>
      <c r="V124" s="96" t="s">
        <v>161</v>
      </c>
      <c r="W124" s="91" t="s">
        <v>56</v>
      </c>
      <c r="X124" s="91" t="s">
        <v>132</v>
      </c>
      <c r="Y124" s="91" t="s">
        <v>149</v>
      </c>
      <c r="Z124" s="92"/>
      <c r="AA124" s="90" t="s">
        <v>167</v>
      </c>
    </row>
    <row r="125" customFormat="false" ht="18" hidden="false" customHeight="true" outlineLevel="0" collapsed="false">
      <c r="A125" s="33"/>
      <c r="B125" s="33"/>
      <c r="C125" s="33"/>
      <c r="D125" s="33"/>
      <c r="E125" s="33"/>
      <c r="F125" s="33"/>
      <c r="G125" s="98"/>
      <c r="H125" s="98"/>
      <c r="I125" s="98"/>
      <c r="J125" s="98"/>
      <c r="K125" s="99"/>
      <c r="L125" s="99"/>
      <c r="M125" s="100"/>
      <c r="N125" s="100"/>
      <c r="O125" s="100"/>
      <c r="P125" s="100"/>
      <c r="Q125" s="100"/>
      <c r="R125" s="98"/>
      <c r="S125" s="98"/>
      <c r="T125" s="98"/>
      <c r="U125" s="98"/>
      <c r="V125" s="101"/>
      <c r="W125" s="33"/>
      <c r="X125" s="33"/>
      <c r="Y125" s="33"/>
      <c r="Z125" s="33"/>
      <c r="AA125" s="110"/>
    </row>
    <row r="126" customFormat="false" ht="18.9" hidden="false" customHeight="true" outlineLevel="0" collapsed="false">
      <c r="A126" s="35" t="s">
        <v>32</v>
      </c>
      <c r="B126" s="36" t="n">
        <v>6000</v>
      </c>
      <c r="C126" s="36" t="n">
        <v>9000</v>
      </c>
      <c r="D126" s="35" t="s">
        <v>36</v>
      </c>
      <c r="E126" s="36" t="str">
        <f aca="false" t="array" ref="E126:E126">IF(F126&gt;100,"T1",IF(F126&gt;50,"T2",IF(F126&gt;10,"T3",IF(F126&gt;1,"T4",IF(F126=0,"TBD","T5")))))</f>
        <v>T4</v>
      </c>
      <c r="F126" s="36" t="n">
        <v>7.9</v>
      </c>
      <c r="G126" s="37" t="n">
        <v>0.46</v>
      </c>
      <c r="H126" s="37" t="n">
        <v>0.02</v>
      </c>
      <c r="I126" s="37" t="n">
        <v>0.9087</v>
      </c>
      <c r="J126" s="37" t="n">
        <f aca="false" t="array" ref="J126:J126">O126/N126</f>
        <v>0.110646415731161</v>
      </c>
      <c r="K126" s="39" t="n">
        <f aca="false" t="array" ref="K126:K126">C126/O126</f>
        <v>1.9893899204244</v>
      </c>
      <c r="L126" s="39" t="n">
        <f aca="false" t="array" ref="L126:L126">C126/P126</f>
        <v>47.6190476190476</v>
      </c>
      <c r="M126" s="40" t="n">
        <f aca="false" t="array" ref="M126:M126">C126/Q126</f>
        <v>692.307692307692</v>
      </c>
      <c r="N126" s="40" t="n">
        <v>40887</v>
      </c>
      <c r="O126" s="40" t="n">
        <v>4524</v>
      </c>
      <c r="P126" s="40" t="n">
        <v>189</v>
      </c>
      <c r="Q126" s="36" t="n">
        <v>13</v>
      </c>
      <c r="R126" s="37" t="n">
        <v>0.657</v>
      </c>
      <c r="S126" s="37" t="n">
        <v>0.015</v>
      </c>
      <c r="T126" s="37" t="n">
        <v>0.2023</v>
      </c>
      <c r="U126" s="37" t="n">
        <v>0.0165</v>
      </c>
      <c r="V126" s="102"/>
      <c r="W126" s="36"/>
      <c r="X126" s="36"/>
      <c r="Y126" s="36"/>
      <c r="Z126" s="42"/>
      <c r="AA126" s="79" t="s">
        <v>168</v>
      </c>
    </row>
    <row r="127" customFormat="false" ht="18.9" hidden="false" customHeight="true" outlineLevel="0" collapsed="false">
      <c r="A127" s="44" t="s">
        <v>32</v>
      </c>
      <c r="B127" s="45" t="n">
        <v>9500</v>
      </c>
      <c r="C127" s="45" t="n">
        <v>18000</v>
      </c>
      <c r="D127" s="44" t="s">
        <v>36</v>
      </c>
      <c r="E127" s="45" t="str">
        <f aca="false" t="array" ref="E127:E127">IF(F127&gt;100,"T1",IF(F127&gt;50,"T2",IF(F127&gt;10,"T3",IF(F127&gt;1,"T4",IF(F127=0,"TBD","T5")))))</f>
        <v>T4</v>
      </c>
      <c r="F127" s="45" t="n">
        <v>8.1</v>
      </c>
      <c r="G127" s="46" t="n">
        <v>0.386</v>
      </c>
      <c r="H127" s="46" t="n">
        <v>0.036</v>
      </c>
      <c r="I127" s="46" t="n">
        <v>0.8753</v>
      </c>
      <c r="J127" s="46" t="n">
        <f aca="false" t="array" ref="J127:J127">O127/N127</f>
        <v>0.143540323164988</v>
      </c>
      <c r="K127" s="48" t="n">
        <f aca="false" t="array" ref="K127:K127">C127/O127</f>
        <v>1.81726400807673</v>
      </c>
      <c r="L127" s="48" t="n">
        <f aca="false" t="array" ref="L127:L127">C127/P127</f>
        <v>12.0886501007388</v>
      </c>
      <c r="M127" s="49" t="n">
        <f aca="false" t="array" ref="M127:M127">C127/Q127</f>
        <v>4.64876033057851</v>
      </c>
      <c r="N127" s="49" t="n">
        <v>69005</v>
      </c>
      <c r="O127" s="49" t="n">
        <v>9905</v>
      </c>
      <c r="P127" s="49" t="n">
        <v>1489</v>
      </c>
      <c r="Q127" s="49" t="n">
        <v>3872</v>
      </c>
      <c r="R127" s="46" t="n">
        <v>0.449</v>
      </c>
      <c r="S127" s="46" t="n">
        <v>0.018</v>
      </c>
      <c r="T127" s="44" t="s">
        <v>34</v>
      </c>
      <c r="U127" s="46" t="n">
        <v>0.4579</v>
      </c>
      <c r="V127" s="90" t="s">
        <v>148</v>
      </c>
      <c r="W127" s="111" t="s">
        <v>67</v>
      </c>
      <c r="X127" s="111" t="s">
        <v>123</v>
      </c>
      <c r="Y127" s="111" t="s">
        <v>169</v>
      </c>
      <c r="Z127" s="112" t="s">
        <v>170</v>
      </c>
      <c r="AA127" s="79" t="s">
        <v>171</v>
      </c>
    </row>
    <row r="128" customFormat="false" ht="18.9" hidden="false" customHeight="true" outlineLevel="0" collapsed="false">
      <c r="A128" s="44" t="s">
        <v>32</v>
      </c>
      <c r="B128" s="45" t="n">
        <v>14800</v>
      </c>
      <c r="C128" s="45" t="n">
        <v>16800</v>
      </c>
      <c r="D128" s="44" t="s">
        <v>33</v>
      </c>
      <c r="E128" s="45" t="str">
        <f aca="false" t="array" ref="E128:E128">IF(F128&gt;100,"T1",IF(F128&gt;50,"T2",IF(F128&gt;10,"T3",IF(F128&gt;1,"T4",IF(F128=0,"TBD","T5")))))</f>
        <v>T3</v>
      </c>
      <c r="F128" s="45" t="n">
        <v>14.8</v>
      </c>
      <c r="G128" s="46" t="n">
        <v>0.689</v>
      </c>
      <c r="H128" s="46" t="n">
        <v>0.013</v>
      </c>
      <c r="I128" s="46" t="n">
        <v>0.9824</v>
      </c>
      <c r="J128" s="46" t="n">
        <f aca="false" t="array" ref="J128:J128">O128/N128</f>
        <v>0.136203842730371</v>
      </c>
      <c r="K128" s="48" t="n">
        <f aca="false" t="array" ref="K128:K128">B128/O128</f>
        <v>0.488481087860585</v>
      </c>
      <c r="L128" s="48" t="n">
        <f aca="false" t="array" ref="L128:L128">B128/P128</f>
        <v>9.00243309002433</v>
      </c>
      <c r="M128" s="49" t="n">
        <f aca="false" t="array" ref="M128:M128">B128/Q128</f>
        <v>11.5625</v>
      </c>
      <c r="N128" s="49" t="n">
        <v>222446</v>
      </c>
      <c r="O128" s="49" t="n">
        <v>30298</v>
      </c>
      <c r="P128" s="49" t="n">
        <v>1644</v>
      </c>
      <c r="Q128" s="49" t="n">
        <v>1280</v>
      </c>
      <c r="R128" s="46" t="n">
        <v>0.933</v>
      </c>
      <c r="S128" s="46" t="n">
        <v>0.007</v>
      </c>
      <c r="T128" s="46" t="n">
        <v>0.1285</v>
      </c>
      <c r="U128" s="44" t="s">
        <v>34</v>
      </c>
      <c r="V128" s="90" t="s">
        <v>148</v>
      </c>
      <c r="W128" s="111" t="s">
        <v>40</v>
      </c>
      <c r="X128" s="111" t="s">
        <v>172</v>
      </c>
      <c r="Y128" s="111" t="s">
        <v>173</v>
      </c>
      <c r="Z128" s="113"/>
      <c r="AA128" s="79" t="s">
        <v>174</v>
      </c>
    </row>
    <row r="129" customFormat="false" ht="18.9" hidden="false" customHeight="true" outlineLevel="0" collapsed="false">
      <c r="A129" s="44" t="s">
        <v>32</v>
      </c>
      <c r="B129" s="45" t="n">
        <v>5000</v>
      </c>
      <c r="C129" s="45" t="n">
        <v>9500</v>
      </c>
      <c r="D129" s="44" t="s">
        <v>33</v>
      </c>
      <c r="E129" s="45" t="str">
        <f aca="false" t="array" ref="E129:E129">IF(F129&gt;100,"T1",IF(F129&gt;50,"T2",IF(F129&gt;10,"T3",IF(F129&gt;1,"T4",IF(F129=0,"TBD","T5")))))</f>
        <v>T3</v>
      </c>
      <c r="F129" s="45" t="n">
        <v>11.3</v>
      </c>
      <c r="G129" s="46" t="n">
        <v>0.445</v>
      </c>
      <c r="H129" s="46" t="n">
        <v>0.047</v>
      </c>
      <c r="I129" s="46" t="n">
        <v>0.9397</v>
      </c>
      <c r="J129" s="46" t="n">
        <f aca="false" t="array" ref="J129:J129">O129/N129</f>
        <v>0.200319516324988</v>
      </c>
      <c r="K129" s="48" t="n">
        <f aca="false" t="array" ref="K129:K129">C129/O129</f>
        <v>0.453677172874881</v>
      </c>
      <c r="L129" s="48" t="n">
        <f aca="false" t="array" ref="L129:L129">C129/P129</f>
        <v>25.4010695187166</v>
      </c>
      <c r="M129" s="49" t="e">
        <f aca="false" t="array" ref="M129:M129">C129/Q129</f>
        <v>#VALUE!</v>
      </c>
      <c r="N129" s="49" t="n">
        <v>104533</v>
      </c>
      <c r="O129" s="49" t="n">
        <v>20940</v>
      </c>
      <c r="P129" s="49" t="n">
        <v>374</v>
      </c>
      <c r="Q129" s="44" t="s">
        <v>34</v>
      </c>
      <c r="R129" s="46" t="n">
        <v>0.157</v>
      </c>
      <c r="S129" s="46" t="n">
        <v>0.004</v>
      </c>
      <c r="T129" s="44" t="s">
        <v>34</v>
      </c>
      <c r="U129" s="46" t="n">
        <v>0.1675</v>
      </c>
      <c r="V129" s="77"/>
      <c r="W129" s="2"/>
      <c r="X129" s="2"/>
      <c r="Y129" s="2"/>
      <c r="Z129" s="113"/>
      <c r="AA129" s="79" t="s">
        <v>175</v>
      </c>
    </row>
    <row r="130" customFormat="false" ht="18.9" hidden="false" customHeight="true" outlineLevel="0" collapsed="false">
      <c r="A130" s="44" t="s">
        <v>32</v>
      </c>
      <c r="B130" s="44" t="s">
        <v>38</v>
      </c>
      <c r="C130" s="45" t="n">
        <v>4000</v>
      </c>
      <c r="D130" s="44" t="s">
        <v>36</v>
      </c>
      <c r="E130" s="45" t="str">
        <f aca="false" t="array" ref="E130:E130">IF(F130&gt;100,"T1",IF(F130&gt;50,"T2",IF(F130&gt;10,"T3",IF(F130&gt;1,"T4",IF(F130=0,"TBD","T5")))))</f>
        <v>T4</v>
      </c>
      <c r="F130" s="45" t="n">
        <v>4</v>
      </c>
      <c r="G130" s="46" t="n">
        <v>0.551</v>
      </c>
      <c r="H130" s="46" t="n">
        <v>0.045</v>
      </c>
      <c r="I130" s="46" t="n">
        <v>0.8831</v>
      </c>
      <c r="J130" s="46" t="n">
        <f aca="false" t="array" ref="J130:J130">O130/N130</f>
        <v>0.239040366632719</v>
      </c>
      <c r="K130" s="48" t="n">
        <f aca="false" t="array" ref="K130:K130">C130/O130</f>
        <v>0.193657709997579</v>
      </c>
      <c r="L130" s="48" t="n">
        <f aca="false" t="array" ref="L130:L130">C130/P130</f>
        <v>2.00601805416249</v>
      </c>
      <c r="M130" s="49" t="e">
        <f aca="false" t="array" ref="M130:M130">C130/Q130</f>
        <v>#VALUE!</v>
      </c>
      <c r="N130" s="49" t="n">
        <v>86408</v>
      </c>
      <c r="O130" s="49" t="n">
        <v>20655</v>
      </c>
      <c r="P130" s="49" t="n">
        <v>1994</v>
      </c>
      <c r="Q130" s="44" t="s">
        <v>34</v>
      </c>
      <c r="R130" s="46" t="n">
        <v>0.765</v>
      </c>
      <c r="S130" s="46" t="n">
        <v>0.006</v>
      </c>
      <c r="T130" s="44" t="s">
        <v>34</v>
      </c>
      <c r="U130" s="44" t="s">
        <v>34</v>
      </c>
      <c r="V130" s="77"/>
      <c r="W130" s="45"/>
      <c r="X130" s="45"/>
      <c r="Y130" s="45"/>
      <c r="Z130" s="51"/>
      <c r="AA130" s="79" t="s">
        <v>129</v>
      </c>
    </row>
    <row r="131" customFormat="false" ht="18.9" hidden="false" customHeight="true" outlineLevel="0" collapsed="false">
      <c r="A131" s="44" t="s">
        <v>32</v>
      </c>
      <c r="B131" s="45" t="n">
        <v>7500</v>
      </c>
      <c r="C131" s="45" t="n">
        <v>8500</v>
      </c>
      <c r="D131" s="44" t="s">
        <v>36</v>
      </c>
      <c r="E131" s="45" t="str">
        <f aca="false" t="array" ref="E131:E131">IF(F131&gt;100,"T1",IF(F131&gt;50,"T2",IF(F131&gt;10,"T3",IF(F131&gt;1,"T4",IF(F131=0,"TBD","T5")))))</f>
        <v>T4</v>
      </c>
      <c r="F131" s="45" t="n">
        <v>4.3</v>
      </c>
      <c r="G131" s="46" t="n">
        <v>0.404</v>
      </c>
      <c r="H131" s="46" t="n">
        <v>0.039</v>
      </c>
      <c r="I131" s="46" t="n">
        <v>0.9087</v>
      </c>
      <c r="J131" s="46" t="n">
        <f aca="false" t="array" ref="J131:J131">O131/N131</f>
        <v>0.18784363482569</v>
      </c>
      <c r="K131" s="48" t="n">
        <f aca="false" t="array" ref="K131:K131">C131/O131</f>
        <v>2.73399807011901</v>
      </c>
      <c r="L131" s="48" t="n">
        <f aca="false" t="array" ref="L131:L131">C131/P131</f>
        <v>5.11432009626956</v>
      </c>
      <c r="M131" s="49" t="e">
        <f aca="false" t="array" ref="M131:M131">C131/Q131</f>
        <v>#VALUE!</v>
      </c>
      <c r="N131" s="49" t="n">
        <v>16551</v>
      </c>
      <c r="O131" s="49" t="n">
        <v>3109</v>
      </c>
      <c r="P131" s="49" t="n">
        <v>1662</v>
      </c>
      <c r="Q131" s="44" t="s">
        <v>34</v>
      </c>
      <c r="R131" s="46" t="n">
        <v>0.622</v>
      </c>
      <c r="S131" s="46" t="n">
        <v>0.01</v>
      </c>
      <c r="T131" s="44" t="s">
        <v>34</v>
      </c>
      <c r="U131" s="46" t="n">
        <v>0.0704</v>
      </c>
      <c r="V131" s="77"/>
      <c r="W131" s="45"/>
      <c r="X131" s="45"/>
      <c r="Y131" s="45"/>
      <c r="Z131" s="51"/>
      <c r="AA131" s="79" t="s">
        <v>176</v>
      </c>
    </row>
    <row r="132" customFormat="false" ht="18.9" hidden="false" customHeight="true" outlineLevel="0" collapsed="false">
      <c r="A132" s="44" t="s">
        <v>32</v>
      </c>
      <c r="B132" s="45" t="n">
        <v>5000</v>
      </c>
      <c r="C132" s="45" t="n">
        <v>6000</v>
      </c>
      <c r="D132" s="44" t="s">
        <v>36</v>
      </c>
      <c r="E132" s="45" t="str">
        <f aca="false" t="array" ref="E132:E132">IF(F132&gt;100,"T1",IF(F132&gt;50,"T2",IF(F132&gt;10,"T3",IF(F132&gt;1,"T4",IF(F132=0,"TBD","T5")))))</f>
        <v>T4</v>
      </c>
      <c r="F132" s="45" t="n">
        <v>1.3</v>
      </c>
      <c r="G132" s="46" t="n">
        <v>0.726</v>
      </c>
      <c r="H132" s="46" t="n">
        <v>0.027</v>
      </c>
      <c r="I132" s="46" t="n">
        <v>0.9151</v>
      </c>
      <c r="J132" s="46" t="n">
        <f aca="false" t="array" ref="J132:J132">O132/N132</f>
        <v>0.208938353186679</v>
      </c>
      <c r="K132" s="48" t="n">
        <f aca="false" t="array" ref="K132:K132">C132/O132</f>
        <v>1.24843945068664</v>
      </c>
      <c r="L132" s="48" t="n">
        <f aca="false" t="array" ref="L132:L132">C132/P132</f>
        <v>33.3333333333333</v>
      </c>
      <c r="M132" s="49" t="e">
        <f aca="false" t="array" ref="M132:M132">C132/Q132</f>
        <v>#VALUE!</v>
      </c>
      <c r="N132" s="49" t="n">
        <v>23002</v>
      </c>
      <c r="O132" s="49" t="n">
        <v>4806</v>
      </c>
      <c r="P132" s="49" t="n">
        <v>180</v>
      </c>
      <c r="Q132" s="44" t="s">
        <v>34</v>
      </c>
      <c r="R132" s="46" t="n">
        <v>0.842</v>
      </c>
      <c r="S132" s="46" t="n">
        <v>0.006</v>
      </c>
      <c r="T132" s="44" t="s">
        <v>34</v>
      </c>
      <c r="U132" s="44" t="s">
        <v>34</v>
      </c>
      <c r="V132" s="77"/>
      <c r="W132" s="45"/>
      <c r="X132" s="45"/>
      <c r="Y132" s="45"/>
      <c r="Z132" s="51"/>
      <c r="AA132" s="79" t="s">
        <v>177</v>
      </c>
    </row>
    <row r="133" customFormat="false" ht="18.9" hidden="false" customHeight="true" outlineLevel="0" collapsed="false">
      <c r="A133" s="44" t="s">
        <v>32</v>
      </c>
      <c r="B133" s="45" t="n">
        <v>4500</v>
      </c>
      <c r="C133" s="45" t="n">
        <v>12000</v>
      </c>
      <c r="D133" s="44" t="s">
        <v>36</v>
      </c>
      <c r="E133" s="45" t="str">
        <f aca="false" t="array" ref="E133:E133">IF(F133&gt;100,"T1",IF(F133&gt;50,"T2",IF(F133&gt;10,"T3",IF(F133&gt;1,"T4",IF(F133=0,"TBD","T5")))))</f>
        <v>T3</v>
      </c>
      <c r="F133" s="45" t="n">
        <v>12.3</v>
      </c>
      <c r="G133" s="46" t="n">
        <v>0.537</v>
      </c>
      <c r="H133" s="46" t="n">
        <v>0.02</v>
      </c>
      <c r="I133" s="46" t="n">
        <v>0.9776</v>
      </c>
      <c r="J133" s="46" t="n">
        <f aca="false" t="array" ref="J133:J133">O133/N133</f>
        <v>0.311775960305279</v>
      </c>
      <c r="K133" s="48" t="n">
        <f aca="false" t="array" ref="K133:K133">C133/O133</f>
        <v>0.809225166902691</v>
      </c>
      <c r="L133" s="48" t="n">
        <f aca="false" t="array" ref="L133:L133">C133/P133</f>
        <v>10.6856634016029</v>
      </c>
      <c r="M133" s="49" t="n">
        <f aca="false" t="array" ref="M133:M133">C133/Q133</f>
        <v>36.697247706422</v>
      </c>
      <c r="N133" s="49" t="n">
        <v>47563</v>
      </c>
      <c r="O133" s="49" t="n">
        <v>14829</v>
      </c>
      <c r="P133" s="49" t="n">
        <v>1123</v>
      </c>
      <c r="Q133" s="45" t="n">
        <v>327</v>
      </c>
      <c r="R133" s="46" t="n">
        <v>0.652</v>
      </c>
      <c r="S133" s="46" t="n">
        <v>0.004</v>
      </c>
      <c r="T133" s="44" t="s">
        <v>34</v>
      </c>
      <c r="U133" s="46" t="n">
        <v>0.3092</v>
      </c>
      <c r="V133" s="77"/>
      <c r="W133" s="45"/>
      <c r="X133" s="45"/>
      <c r="Y133" s="45"/>
      <c r="Z133" s="51"/>
      <c r="AA133" s="79" t="s">
        <v>178</v>
      </c>
    </row>
    <row r="134" customFormat="false" ht="18.9" hidden="false" customHeight="true" outlineLevel="0" collapsed="false">
      <c r="A134" s="44" t="s">
        <v>32</v>
      </c>
      <c r="B134" s="45" t="n">
        <v>10000</v>
      </c>
      <c r="C134" s="45" t="n">
        <v>12500</v>
      </c>
      <c r="D134" s="44" t="s">
        <v>36</v>
      </c>
      <c r="E134" s="45" t="str">
        <f aca="false" t="array" ref="E134:E134">IF(F134&gt;100,"T1",IF(F134&gt;50,"T2",IF(F134&gt;10,"T3",IF(F134&gt;1,"T4",IF(F134=0,"TBD","T5")))))</f>
        <v>T4</v>
      </c>
      <c r="F134" s="45" t="n">
        <v>4.6</v>
      </c>
      <c r="G134" s="46" t="n">
        <v>0.388</v>
      </c>
      <c r="H134" s="46" t="n">
        <v>0.026</v>
      </c>
      <c r="I134" s="46" t="n">
        <v>0.8364</v>
      </c>
      <c r="J134" s="46" t="n">
        <f aca="false" t="array" ref="J134:J134">O134/N134</f>
        <v>0.170856378935228</v>
      </c>
      <c r="K134" s="48" t="n">
        <f aca="false" t="array" ref="K134:K134">C134/O134</f>
        <v>1.91776618594661</v>
      </c>
      <c r="L134" s="48" t="n">
        <f aca="false" t="array" ref="L134:L134">C134/P134</f>
        <v>9.11078717201166</v>
      </c>
      <c r="M134" s="49" t="e">
        <f aca="false" t="array" ref="M134:M134">C134/Q134</f>
        <v>#VALUE!</v>
      </c>
      <c r="N134" s="49" t="n">
        <v>38149</v>
      </c>
      <c r="O134" s="49" t="n">
        <v>6518</v>
      </c>
      <c r="P134" s="49" t="n">
        <v>1372</v>
      </c>
      <c r="Q134" s="44" t="s">
        <v>34</v>
      </c>
      <c r="R134" s="46" t="n">
        <v>0.386</v>
      </c>
      <c r="S134" s="46" t="n">
        <v>0.009</v>
      </c>
      <c r="T134" s="44" t="s">
        <v>34</v>
      </c>
      <c r="U134" s="44" t="s">
        <v>34</v>
      </c>
      <c r="V134" s="77"/>
      <c r="W134" s="45"/>
      <c r="X134" s="45"/>
      <c r="Y134" s="45"/>
      <c r="Z134" s="51"/>
      <c r="AA134" s="79" t="s">
        <v>159</v>
      </c>
    </row>
    <row r="135" customFormat="false" ht="18.9" hidden="false" customHeight="true" outlineLevel="0" collapsed="false">
      <c r="A135" s="44" t="s">
        <v>32</v>
      </c>
      <c r="B135" s="45" t="n">
        <v>8000</v>
      </c>
      <c r="C135" s="45" t="n">
        <v>9000</v>
      </c>
      <c r="D135" s="44" t="s">
        <v>33</v>
      </c>
      <c r="E135" s="45" t="str">
        <f aca="false" t="array" ref="E135:E135">IF(F135&gt;100,"T1",IF(F135&gt;50,"T2",IF(F135&gt;10,"T3",IF(F135&gt;1,"T4",IF(F135=0,"TBD","T5")))))</f>
        <v>T3</v>
      </c>
      <c r="F135" s="45" t="n">
        <v>10.8</v>
      </c>
      <c r="G135" s="46" t="n">
        <v>0.275</v>
      </c>
      <c r="H135" s="46" t="n">
        <v>0.075</v>
      </c>
      <c r="I135" s="46" t="n">
        <v>0.918</v>
      </c>
      <c r="J135" s="46" t="n">
        <f aca="false" t="array" ref="J135:J135">O135/N135</f>
        <v>0.146001661709634</v>
      </c>
      <c r="K135" s="48" t="n">
        <f aca="false" t="array" ref="K135:K135">C135/O135</f>
        <v>0.371134020618557</v>
      </c>
      <c r="L135" s="48" t="n">
        <f aca="false" t="array" ref="L135:L135">C135/P135</f>
        <v>4.93691716950082</v>
      </c>
      <c r="M135" s="49" t="n">
        <f aca="false" t="array" ref="M135:M135">C135/Q135</f>
        <v>29.8013245033113</v>
      </c>
      <c r="N135" s="49" t="n">
        <v>166094</v>
      </c>
      <c r="O135" s="49" t="n">
        <v>24250</v>
      </c>
      <c r="P135" s="49" t="n">
        <v>1823</v>
      </c>
      <c r="Q135" s="45" t="n">
        <v>302</v>
      </c>
      <c r="R135" s="46" t="n">
        <v>0.869</v>
      </c>
      <c r="S135" s="46" t="n">
        <v>0.016</v>
      </c>
      <c r="T135" s="44" t="s">
        <v>34</v>
      </c>
      <c r="U135" s="46" t="n">
        <v>0.3386</v>
      </c>
      <c r="V135" s="77"/>
      <c r="W135" s="45"/>
      <c r="X135" s="45"/>
      <c r="Y135" s="45"/>
      <c r="Z135" s="51"/>
      <c r="AA135" s="79" t="s">
        <v>179</v>
      </c>
    </row>
    <row r="136" customFormat="false" ht="18.9" hidden="false" customHeight="true" outlineLevel="0" collapsed="false">
      <c r="A136" s="52" t="s">
        <v>32</v>
      </c>
      <c r="B136" s="53" t="n">
        <v>20000</v>
      </c>
      <c r="C136" s="53" t="n">
        <v>35000</v>
      </c>
      <c r="D136" s="52" t="s">
        <v>61</v>
      </c>
      <c r="E136" s="53" t="str">
        <f aca="false" t="array" ref="E136:E136">IF(F136&gt;100,"T1",IF(F136&gt;50,"T2",IF(F136&gt;10,"T3",IF(F136&gt;1,"T4",IF(F136=0,"TBD","T5")))))</f>
        <v>T2</v>
      </c>
      <c r="F136" s="53" t="n">
        <v>67.1</v>
      </c>
      <c r="G136" s="54" t="n">
        <v>0.256</v>
      </c>
      <c r="H136" s="54" t="n">
        <v>0.095</v>
      </c>
      <c r="I136" s="54" t="n">
        <v>0.8209</v>
      </c>
      <c r="J136" s="54" t="n">
        <f aca="false" t="array" ref="J136:J136">O136/N136</f>
        <v>0.244798483549217</v>
      </c>
      <c r="K136" s="56" t="n">
        <f aca="false" t="array" ref="K136:K136">C136/O136</f>
        <v>1.07546705998033</v>
      </c>
      <c r="L136" s="56" t="n">
        <f aca="false" t="array" ref="L136:L136">C136/P136</f>
        <v>1.14821862082541</v>
      </c>
      <c r="M136" s="57" t="e">
        <f aca="false" t="array" ref="M136:M136">C136/Q136</f>
        <v>#VALUE!</v>
      </c>
      <c r="N136" s="57" t="n">
        <v>132942</v>
      </c>
      <c r="O136" s="57" t="n">
        <v>32544</v>
      </c>
      <c r="P136" s="57" t="n">
        <v>30482</v>
      </c>
      <c r="Q136" s="52" t="s">
        <v>34</v>
      </c>
      <c r="R136" s="54" t="n">
        <v>0.778</v>
      </c>
      <c r="S136" s="54" t="n">
        <v>0.007</v>
      </c>
      <c r="T136" s="52" t="s">
        <v>34</v>
      </c>
      <c r="U136" s="52" t="s">
        <v>34</v>
      </c>
      <c r="V136" s="107"/>
      <c r="W136" s="53"/>
      <c r="X136" s="53"/>
      <c r="Y136" s="53"/>
      <c r="Z136" s="59"/>
      <c r="AA136" s="79" t="s">
        <v>107</v>
      </c>
    </row>
    <row r="137" customFormat="false" ht="18.9" hidden="false" customHeight="true" outlineLevel="0" collapsed="false">
      <c r="A137" s="65"/>
      <c r="B137" s="65"/>
      <c r="C137" s="65"/>
      <c r="D137" s="65"/>
      <c r="E137" s="65"/>
      <c r="F137" s="65"/>
      <c r="G137" s="66"/>
      <c r="H137" s="66"/>
      <c r="I137" s="66"/>
      <c r="J137" s="66"/>
      <c r="K137" s="68"/>
      <c r="L137" s="68"/>
      <c r="M137" s="69"/>
      <c r="N137" s="69"/>
      <c r="O137" s="69"/>
      <c r="P137" s="69"/>
      <c r="Q137" s="65"/>
      <c r="R137" s="66"/>
      <c r="S137" s="66"/>
      <c r="T137" s="66"/>
      <c r="U137" s="66"/>
      <c r="V137" s="34"/>
      <c r="W137" s="33"/>
      <c r="X137" s="33"/>
      <c r="Y137" s="33"/>
      <c r="Z137" s="33"/>
      <c r="AA137" s="34"/>
    </row>
    <row r="138" customFormat="false" ht="18.9" hidden="false" customHeight="true" outlineLevel="0" collapsed="false">
      <c r="A138" s="35" t="s">
        <v>32</v>
      </c>
      <c r="B138" s="36" t="n">
        <v>12800</v>
      </c>
      <c r="C138" s="36" t="n">
        <v>12800</v>
      </c>
      <c r="D138" s="35" t="s">
        <v>33</v>
      </c>
      <c r="E138" s="36" t="str">
        <f aca="false" t="array" ref="E138:E138">IF(F138&gt;100,"T1",IF(F138&gt;50,"T2",IF(F138&gt;10,"T3",IF(F138&gt;1,"T4",IF(F138=0,"TBD","T5")))))</f>
        <v>T3</v>
      </c>
      <c r="F138" s="36" t="n">
        <v>20.5</v>
      </c>
      <c r="G138" s="37" t="n">
        <v>0.409</v>
      </c>
      <c r="H138" s="37" t="n">
        <v>0.019</v>
      </c>
      <c r="I138" s="37" t="n">
        <v>0.9831</v>
      </c>
      <c r="J138" s="37" t="n">
        <f aca="false" t="array" ref="J138:J138">O138/N138</f>
        <v>0.104693173158815</v>
      </c>
      <c r="K138" s="39" t="n">
        <f aca="false" t="array" ref="K138:K138">C138/O138</f>
        <v>1.09607809556431</v>
      </c>
      <c r="L138" s="39" t="n">
        <f aca="false" t="array" ref="L138:L138">C138/P138</f>
        <v>19.3939393939394</v>
      </c>
      <c r="M138" s="40" t="e">
        <f aca="false" t="array" ref="M138:M138">C138/Q138</f>
        <v>#VALUE!</v>
      </c>
      <c r="N138" s="36" t="n">
        <v>111545</v>
      </c>
      <c r="O138" s="36" t="n">
        <v>11678</v>
      </c>
      <c r="P138" s="36" t="n">
        <v>660</v>
      </c>
      <c r="Q138" s="35" t="s">
        <v>34</v>
      </c>
      <c r="R138" s="37" t="n">
        <v>0.711</v>
      </c>
      <c r="S138" s="37" t="n">
        <v>0.004</v>
      </c>
      <c r="T138" s="35" t="s">
        <v>34</v>
      </c>
      <c r="U138" s="35" t="s">
        <v>34</v>
      </c>
      <c r="V138" s="102"/>
      <c r="W138" s="83"/>
      <c r="X138" s="83"/>
      <c r="Y138" s="83"/>
      <c r="Z138" s="103"/>
      <c r="AA138" s="89" t="s">
        <v>129</v>
      </c>
    </row>
    <row r="139" customFormat="false" ht="18.9" hidden="false" customHeight="true" outlineLevel="0" collapsed="false">
      <c r="A139" s="44" t="s">
        <v>32</v>
      </c>
      <c r="B139" s="45" t="n">
        <v>17000</v>
      </c>
      <c r="C139" s="45" t="n">
        <v>18000</v>
      </c>
      <c r="D139" s="44" t="s">
        <v>33</v>
      </c>
      <c r="E139" s="45" t="str">
        <f aca="false" t="array" ref="E139:E139">IF(F139&gt;100,"T1",IF(F139&gt;50,"T2",IF(F139&gt;10,"T3",IF(F139&gt;1,"T4",IF(F139=0,"TBD","T5")))))</f>
        <v>T3</v>
      </c>
      <c r="F139" s="45" t="n">
        <v>20</v>
      </c>
      <c r="G139" s="46" t="n">
        <v>0.24</v>
      </c>
      <c r="H139" s="46" t="n">
        <v>0.023</v>
      </c>
      <c r="I139" s="46" t="n">
        <v>0.9628</v>
      </c>
      <c r="J139" s="46" t="n">
        <f aca="false" t="array" ref="J139:J139">O139/N139</f>
        <v>0.493476355846938</v>
      </c>
      <c r="K139" s="48" t="n">
        <f aca="false" t="array" ref="K139:K139">C139/O139</f>
        <v>0.591930020717551</v>
      </c>
      <c r="L139" s="48" t="n">
        <f aca="false" t="array" ref="L139:L139">C139/P139</f>
        <v>15.0375939849624</v>
      </c>
      <c r="M139" s="49" t="n">
        <f aca="false" t="array" ref="M139:M139">C139/Q139</f>
        <v>49.7237569060774</v>
      </c>
      <c r="N139" s="45" t="n">
        <v>61622</v>
      </c>
      <c r="O139" s="45" t="n">
        <v>30409</v>
      </c>
      <c r="P139" s="45" t="n">
        <v>1197</v>
      </c>
      <c r="Q139" s="45" t="n">
        <v>362</v>
      </c>
      <c r="R139" s="46" t="n">
        <v>0.772</v>
      </c>
      <c r="S139" s="46" t="n">
        <v>0.119</v>
      </c>
      <c r="T139" s="44" t="s">
        <v>34</v>
      </c>
      <c r="U139" s="46" t="n">
        <v>0.6197</v>
      </c>
      <c r="V139" s="90" t="s">
        <v>148</v>
      </c>
      <c r="W139" s="72" t="s">
        <v>67</v>
      </c>
      <c r="X139" s="72" t="s">
        <v>180</v>
      </c>
      <c r="Y139" s="72" t="s">
        <v>181</v>
      </c>
      <c r="Z139" s="78"/>
      <c r="AA139" s="89" t="s">
        <v>182</v>
      </c>
    </row>
    <row r="140" customFormat="false" ht="18.9" hidden="false" customHeight="true" outlineLevel="0" collapsed="false">
      <c r="A140" s="44" t="s">
        <v>32</v>
      </c>
      <c r="B140" s="44" t="s">
        <v>38</v>
      </c>
      <c r="C140" s="45" t="n">
        <v>20000</v>
      </c>
      <c r="D140" s="44" t="s">
        <v>33</v>
      </c>
      <c r="E140" s="45" t="str">
        <f aca="false" t="array" ref="E140:E140">IF(F140&gt;100,"T1",IF(F140&gt;50,"T2",IF(F140&gt;10,"T3",IF(F140&gt;1,"T4",IF(F140=0,"TBD","T5")))))</f>
        <v>T3</v>
      </c>
      <c r="F140" s="45" t="n">
        <v>19.5</v>
      </c>
      <c r="G140" s="46" t="n">
        <v>0.207</v>
      </c>
      <c r="H140" s="46" t="n">
        <v>0.038</v>
      </c>
      <c r="I140" s="46" t="n">
        <v>0.968</v>
      </c>
      <c r="J140" s="46" t="n">
        <f aca="false" t="array" ref="J140:J140">O140/N140</f>
        <v>0.136875468587327</v>
      </c>
      <c r="K140" s="48" t="n">
        <f aca="false" t="array" ref="K140:K140">C140/O140</f>
        <v>0.519197320941824</v>
      </c>
      <c r="L140" s="48" t="n">
        <f aca="false" t="array" ref="L140:L140">C140/P140</f>
        <v>9.92063492063492</v>
      </c>
      <c r="M140" s="49" t="n">
        <f aca="false" t="array" ref="M140:M140">C140/Q140</f>
        <v>22.0507166482911</v>
      </c>
      <c r="N140" s="45" t="n">
        <v>281431</v>
      </c>
      <c r="O140" s="45" t="n">
        <v>38521</v>
      </c>
      <c r="P140" s="45" t="n">
        <v>2016</v>
      </c>
      <c r="Q140" s="45" t="n">
        <v>907</v>
      </c>
      <c r="R140" s="46" t="n">
        <v>0.763</v>
      </c>
      <c r="S140" s="46" t="n">
        <v>0.014</v>
      </c>
      <c r="T140" s="44" t="s">
        <v>34</v>
      </c>
      <c r="U140" s="46" t="n">
        <v>0.601</v>
      </c>
      <c r="V140" s="90" t="s">
        <v>148</v>
      </c>
      <c r="W140" s="72" t="s">
        <v>67</v>
      </c>
      <c r="X140" s="72" t="s">
        <v>123</v>
      </c>
      <c r="Y140" s="72" t="s">
        <v>169</v>
      </c>
      <c r="Z140" s="78"/>
      <c r="AA140" s="89" t="s">
        <v>183</v>
      </c>
    </row>
    <row r="141" customFormat="false" ht="18.9" hidden="false" customHeight="true" outlineLevel="0" collapsed="false">
      <c r="A141" s="44" t="s">
        <v>32</v>
      </c>
      <c r="B141" s="45" t="n">
        <v>15000</v>
      </c>
      <c r="C141" s="45" t="n">
        <v>30000</v>
      </c>
      <c r="D141" s="44" t="s">
        <v>36</v>
      </c>
      <c r="E141" s="45" t="str">
        <f aca="false" t="array" ref="E141:E141">IF(F141&gt;100,"T1",IF(F141&gt;50,"T2",IF(F141&gt;10,"T3",IF(F141&gt;1,"T4",IF(F141=0,"TBD","T5")))))</f>
        <v>T3</v>
      </c>
      <c r="F141" s="45" t="n">
        <v>18.8</v>
      </c>
      <c r="G141" s="46" t="n">
        <v>0.378</v>
      </c>
      <c r="H141" s="46" t="n">
        <v>0.036</v>
      </c>
      <c r="I141" s="46" t="n">
        <v>0.8853</v>
      </c>
      <c r="J141" s="46" t="n">
        <f aca="false" t="array" ref="J141:J141">O141/N141</f>
        <v>0.297980386313765</v>
      </c>
      <c r="K141" s="48" t="n">
        <f aca="false" t="array" ref="K141:K141">C141/O141</f>
        <v>0.13637169469105</v>
      </c>
      <c r="L141" s="48" t="n">
        <f aca="false" t="array" ref="L141:L141">C141/P141</f>
        <v>3.2559149120903</v>
      </c>
      <c r="M141" s="49" t="e">
        <f aca="false" t="array" ref="M141:M141">C141/Q141</f>
        <v>#VALUE!</v>
      </c>
      <c r="N141" s="45" t="n">
        <v>738260</v>
      </c>
      <c r="O141" s="45" t="n">
        <v>219987</v>
      </c>
      <c r="P141" s="45" t="n">
        <v>9214</v>
      </c>
      <c r="Q141" s="44" t="s">
        <v>34</v>
      </c>
      <c r="R141" s="46" t="n">
        <v>0.936</v>
      </c>
      <c r="S141" s="46" t="n">
        <v>0.002</v>
      </c>
      <c r="T141" s="44" t="s">
        <v>34</v>
      </c>
      <c r="U141" s="46" t="n">
        <v>0.382</v>
      </c>
      <c r="V141" s="77"/>
      <c r="W141" s="73"/>
      <c r="X141" s="73"/>
      <c r="Y141" s="73"/>
      <c r="Z141" s="78"/>
      <c r="AA141" s="89" t="s">
        <v>146</v>
      </c>
    </row>
    <row r="142" customFormat="false" ht="17.4" hidden="false" customHeight="true" outlineLevel="0" collapsed="false">
      <c r="A142" s="44" t="s">
        <v>32</v>
      </c>
      <c r="B142" s="45" t="n">
        <v>7500</v>
      </c>
      <c r="C142" s="45" t="n">
        <v>7500</v>
      </c>
      <c r="D142" s="44" t="s">
        <v>36</v>
      </c>
      <c r="E142" s="45" t="str">
        <f aca="false" t="array" ref="E142:E142">IF(F142&gt;100,"T1",IF(F142&gt;50,"T2",IF(F142&gt;10,"T3",IF(F142&gt;1,"T4",IF(F142=0,"TBD","T5")))))</f>
        <v>T3</v>
      </c>
      <c r="F142" s="45" t="n">
        <v>18.3</v>
      </c>
      <c r="G142" s="46" t="n">
        <v>0.224</v>
      </c>
      <c r="H142" s="46" t="n">
        <v>0.077</v>
      </c>
      <c r="I142" s="46" t="n">
        <v>0.9058</v>
      </c>
      <c r="J142" s="46" t="n">
        <f aca="false" t="array" ref="J142:J142">O142/N142</f>
        <v>0.221799406143276</v>
      </c>
      <c r="K142" s="48" t="n">
        <f aca="false" t="array" ref="K142:K142">C142/O142</f>
        <v>0.171338496333356</v>
      </c>
      <c r="L142" s="48" t="n">
        <f aca="false" t="array" ref="L142:L142">C142/P142</f>
        <v>3.37685727149932</v>
      </c>
      <c r="M142" s="49" t="e">
        <f aca="false" t="array" ref="M142:M142">C142/Q142</f>
        <v>#VALUE!</v>
      </c>
      <c r="N142" s="45" t="n">
        <v>197354</v>
      </c>
      <c r="O142" s="45" t="n">
        <v>43773</v>
      </c>
      <c r="P142" s="45" t="n">
        <v>2221</v>
      </c>
      <c r="Q142" s="44" t="s">
        <v>34</v>
      </c>
      <c r="R142" s="46" t="n">
        <v>0.908</v>
      </c>
      <c r="S142" s="46" t="n">
        <v>0.032</v>
      </c>
      <c r="T142" s="46" t="n">
        <v>0.1486</v>
      </c>
      <c r="U142" s="46" t="n">
        <v>0.7241</v>
      </c>
      <c r="V142" s="77"/>
      <c r="W142" s="73"/>
      <c r="X142" s="73"/>
      <c r="Y142" s="73"/>
      <c r="Z142" s="78"/>
      <c r="AA142" s="89" t="s">
        <v>184</v>
      </c>
    </row>
    <row r="143" customFormat="false" ht="17.4" hidden="false" customHeight="true" outlineLevel="0" collapsed="false">
      <c r="A143" s="44" t="s">
        <v>32</v>
      </c>
      <c r="B143" s="45" t="n">
        <v>12000</v>
      </c>
      <c r="C143" s="45" t="n">
        <v>16000</v>
      </c>
      <c r="D143" s="44" t="s">
        <v>36</v>
      </c>
      <c r="E143" s="45" t="str">
        <f aca="false" t="array" ref="E143:E143">IF(F143&gt;100,"T1",IF(F143&gt;50,"T2",IF(F143&gt;10,"T3",IF(F143&gt;1,"T4",IF(F143=0,"TBD","T5")))))</f>
        <v>T3</v>
      </c>
      <c r="F143" s="45" t="n">
        <v>16.5</v>
      </c>
      <c r="G143" s="46" t="n">
        <v>0.61</v>
      </c>
      <c r="H143" s="46" t="n">
        <v>0.027</v>
      </c>
      <c r="I143" s="46" t="n">
        <v>0.9363</v>
      </c>
      <c r="J143" s="46" t="n">
        <f aca="false" t="array" ref="J143:J143">O143/N143</f>
        <v>0.402756188861965</v>
      </c>
      <c r="K143" s="48" t="n">
        <f aca="false" t="array" ref="K143:K143">C143/O143</f>
        <v>0.169179689978218</v>
      </c>
      <c r="L143" s="48" t="n">
        <f aca="false" t="array" ref="L143:L143">C143/P143</f>
        <v>1.69365936276066</v>
      </c>
      <c r="M143" s="49" t="e">
        <f aca="false" t="array" ref="M143:M143">C143/Q143</f>
        <v>#VALUE!</v>
      </c>
      <c r="N143" s="45" t="n">
        <v>234817</v>
      </c>
      <c r="O143" s="45" t="n">
        <v>94574</v>
      </c>
      <c r="P143" s="45" t="n">
        <v>9447</v>
      </c>
      <c r="Q143" s="44" t="s">
        <v>34</v>
      </c>
      <c r="R143" s="46" t="n">
        <v>0.586</v>
      </c>
      <c r="S143" s="46" t="n">
        <v>0.089</v>
      </c>
      <c r="T143" s="44" t="s">
        <v>34</v>
      </c>
      <c r="U143" s="44" t="s">
        <v>34</v>
      </c>
      <c r="V143" s="77"/>
      <c r="W143" s="73"/>
      <c r="X143" s="73"/>
      <c r="Y143" s="73"/>
      <c r="Z143" s="78"/>
      <c r="AA143" s="89" t="s">
        <v>76</v>
      </c>
    </row>
    <row r="144" customFormat="false" ht="17.4" hidden="false" customHeight="true" outlineLevel="0" collapsed="false">
      <c r="A144" s="44" t="s">
        <v>32</v>
      </c>
      <c r="B144" s="45" t="n">
        <v>30000</v>
      </c>
      <c r="C144" s="45" t="n">
        <v>40000</v>
      </c>
      <c r="D144" s="44" t="s">
        <v>36</v>
      </c>
      <c r="E144" s="45" t="str">
        <f aca="false" t="array" ref="E144:E144">IF(F144&gt;100,"T1",IF(F144&gt;50,"T2",IF(F144&gt;10,"T3",IF(F144&gt;1,"T4",IF(F144=0,"TBD","T5")))))</f>
        <v>T3</v>
      </c>
      <c r="F144" s="45" t="n">
        <v>46.8</v>
      </c>
      <c r="G144" s="46" t="n">
        <v>0.361</v>
      </c>
      <c r="H144" s="46" t="n">
        <v>0.043</v>
      </c>
      <c r="I144" s="46" t="n">
        <v>0.8589</v>
      </c>
      <c r="J144" s="46" t="n">
        <f aca="false" t="array" ref="J144:J144">O144/N144</f>
        <v>0.0690195972039472</v>
      </c>
      <c r="K144" s="48" t="n">
        <f aca="false" t="array" ref="K144:K144">C144/O144</f>
        <v>0.604732028120039</v>
      </c>
      <c r="L144" s="48" t="n">
        <f aca="false" t="array" ref="L144:L144">C144/P144</f>
        <v>8.78348704435661</v>
      </c>
      <c r="M144" s="49" t="e">
        <f aca="false" t="array" ref="M144:M144">C144/Q144</f>
        <v>#VALUE!</v>
      </c>
      <c r="N144" s="45" t="n">
        <v>958351</v>
      </c>
      <c r="O144" s="45" t="n">
        <v>66145</v>
      </c>
      <c r="P144" s="45" t="n">
        <v>4554</v>
      </c>
      <c r="Q144" s="44" t="s">
        <v>34</v>
      </c>
      <c r="R144" s="46" t="n">
        <v>0.924</v>
      </c>
      <c r="S144" s="46" t="n">
        <v>0.003</v>
      </c>
      <c r="T144" s="44" t="s">
        <v>34</v>
      </c>
      <c r="U144" s="46" t="n">
        <v>0.6897</v>
      </c>
      <c r="V144" s="90" t="s">
        <v>148</v>
      </c>
      <c r="W144" s="72" t="s">
        <v>67</v>
      </c>
      <c r="X144" s="72" t="s">
        <v>123</v>
      </c>
      <c r="Y144" s="72" t="s">
        <v>169</v>
      </c>
      <c r="Z144" s="78"/>
      <c r="AA144" s="89" t="s">
        <v>185</v>
      </c>
    </row>
    <row r="145" customFormat="false" ht="17.4" hidden="false" customHeight="true" outlineLevel="0" collapsed="false">
      <c r="A145" s="44" t="s">
        <v>32</v>
      </c>
      <c r="B145" s="45" t="n">
        <v>8000</v>
      </c>
      <c r="C145" s="45" t="n">
        <v>12000</v>
      </c>
      <c r="D145" s="44" t="s">
        <v>33</v>
      </c>
      <c r="E145" s="45" t="str">
        <f aca="false" t="array" ref="E145:E145">IF(F145&gt;100,"T1",IF(F145&gt;50,"T2",IF(F145&gt;10,"T3",IF(F145&gt;1,"T4",IF(F145=0,"TBD","T5")))))</f>
        <v>T3</v>
      </c>
      <c r="F145" s="45" t="n">
        <v>14.6</v>
      </c>
      <c r="G145" s="46" t="n">
        <v>0.437</v>
      </c>
      <c r="H145" s="46" t="n">
        <v>0.056</v>
      </c>
      <c r="I145" s="46" t="n">
        <v>0.9458</v>
      </c>
      <c r="J145" s="46" t="n">
        <f aca="false" t="array" ref="J145:J145">O145/N145</f>
        <v>0.106330286671299</v>
      </c>
      <c r="K145" s="48" t="n">
        <f aca="false" t="array" ref="K145:K145">C145/O145</f>
        <v>1.00536193029491</v>
      </c>
      <c r="L145" s="48" t="n">
        <f aca="false" t="array" ref="L145:L145">C145/P145</f>
        <v>25.8620689655172</v>
      </c>
      <c r="M145" s="49" t="n">
        <f aca="false" t="array" ref="M145:M145">C145/Q145</f>
        <v>480</v>
      </c>
      <c r="N145" s="45" t="n">
        <v>112254</v>
      </c>
      <c r="O145" s="45" t="n">
        <v>11936</v>
      </c>
      <c r="P145" s="45" t="n">
        <v>464</v>
      </c>
      <c r="Q145" s="45" t="n">
        <v>25</v>
      </c>
      <c r="R145" s="46" t="n">
        <v>0.851</v>
      </c>
      <c r="S145" s="46" t="n">
        <v>0.044</v>
      </c>
      <c r="T145" s="44" t="s">
        <v>34</v>
      </c>
      <c r="U145" s="46" t="n">
        <v>0.419</v>
      </c>
      <c r="V145" s="77"/>
      <c r="W145" s="73"/>
      <c r="X145" s="73"/>
      <c r="Y145" s="73"/>
      <c r="Z145" s="78"/>
      <c r="AA145" s="89" t="s">
        <v>186</v>
      </c>
    </row>
    <row r="146" customFormat="false" ht="17.4" hidden="false" customHeight="true" outlineLevel="0" collapsed="false">
      <c r="A146" s="44" t="s">
        <v>32</v>
      </c>
      <c r="B146" s="45" t="n">
        <v>5000</v>
      </c>
      <c r="C146" s="45" t="n">
        <v>10000</v>
      </c>
      <c r="D146" s="44" t="s">
        <v>61</v>
      </c>
      <c r="E146" s="45" t="str">
        <f aca="false" t="array" ref="E146:E146">IF(F146&gt;100,"T1",IF(F146&gt;50,"T2",IF(F146&gt;10,"T3",IF(F146&gt;1,"T4",IF(F146=0,"TBD","T5")))))</f>
        <v>T3</v>
      </c>
      <c r="F146" s="45" t="n">
        <v>14.4</v>
      </c>
      <c r="G146" s="46" t="n">
        <v>0.383</v>
      </c>
      <c r="H146" s="46" t="n">
        <v>0.053</v>
      </c>
      <c r="I146" s="46" t="n">
        <v>0.915</v>
      </c>
      <c r="J146" s="46" t="n">
        <f aca="false" t="array" ref="J146:J146">O146/N146</f>
        <v>0.235071033467309</v>
      </c>
      <c r="K146" s="48" t="n">
        <f aca="false" t="array" ref="K146:K146">C146/O146</f>
        <v>0.169287806199319</v>
      </c>
      <c r="L146" s="48" t="n">
        <f aca="false" t="array" ref="L146:L146">C146/P146</f>
        <v>1.57753588894147</v>
      </c>
      <c r="M146" s="49" t="n">
        <f aca="false" t="array" ref="M146:M146">C146/Q146</f>
        <v>232.558139534884</v>
      </c>
      <c r="N146" s="45" t="n">
        <v>251290</v>
      </c>
      <c r="O146" s="45" t="n">
        <v>59071</v>
      </c>
      <c r="P146" s="45" t="n">
        <v>6339</v>
      </c>
      <c r="Q146" s="45" t="n">
        <v>43</v>
      </c>
      <c r="R146" s="46" t="n">
        <v>0.885</v>
      </c>
      <c r="S146" s="46" t="n">
        <v>0.002</v>
      </c>
      <c r="T146" s="44" t="s">
        <v>34</v>
      </c>
      <c r="U146" s="46" t="n">
        <v>0.6963</v>
      </c>
      <c r="V146" s="77"/>
      <c r="W146" s="73"/>
      <c r="X146" s="73"/>
      <c r="Y146" s="73"/>
      <c r="Z146" s="78"/>
      <c r="AA146" s="89" t="s">
        <v>187</v>
      </c>
    </row>
    <row r="147" customFormat="false" ht="17.4" hidden="false" customHeight="true" outlineLevel="0" collapsed="false">
      <c r="A147" s="52" t="s">
        <v>32</v>
      </c>
      <c r="B147" s="53" t="n">
        <v>5500</v>
      </c>
      <c r="C147" s="52" t="s">
        <v>38</v>
      </c>
      <c r="D147" s="52" t="s">
        <v>33</v>
      </c>
      <c r="E147" s="53" t="str">
        <f aca="false" t="array" ref="E147:E147">IF(F147&gt;100,"T1",IF(F147&gt;50,"T2",IF(F147&gt;10,"T3",IF(F147&gt;1,"T4",IF(F147=0,"TBD","T5")))))</f>
        <v>T4</v>
      </c>
      <c r="F147" s="53" t="n">
        <v>3.6</v>
      </c>
      <c r="G147" s="54" t="n">
        <v>0.316</v>
      </c>
      <c r="H147" s="54" t="n">
        <v>0.048</v>
      </c>
      <c r="I147" s="54" t="n">
        <v>0.7569</v>
      </c>
      <c r="J147" s="54" t="n">
        <f aca="false" t="array" ref="J147:J147">O147/N147</f>
        <v>0.0890520666486385</v>
      </c>
      <c r="K147" s="56" t="e">
        <f aca="false" t="array" ref="K147:K147">C147/O147</f>
        <v>#VALUE!</v>
      </c>
      <c r="L147" s="56" t="e">
        <f aca="false" t="array" ref="L147:L147">C147/P147</f>
        <v>#VALUE!</v>
      </c>
      <c r="M147" s="57" t="e">
        <f aca="false" t="array" ref="M147:M147">C147/Q147</f>
        <v>#VALUE!</v>
      </c>
      <c r="N147" s="53" t="n">
        <v>48073</v>
      </c>
      <c r="O147" s="53" t="n">
        <v>4281</v>
      </c>
      <c r="P147" s="53" t="n">
        <v>13</v>
      </c>
      <c r="Q147" s="52" t="s">
        <v>34</v>
      </c>
      <c r="R147" s="54" t="n">
        <v>0.993</v>
      </c>
      <c r="S147" s="54" t="n">
        <v>0</v>
      </c>
      <c r="T147" s="54" t="n">
        <v>0.2831</v>
      </c>
      <c r="U147" s="52" t="s">
        <v>34</v>
      </c>
      <c r="V147" s="107"/>
      <c r="W147" s="92"/>
      <c r="X147" s="92"/>
      <c r="Y147" s="92"/>
      <c r="Z147" s="108"/>
      <c r="AA147" s="89" t="s">
        <v>188</v>
      </c>
    </row>
    <row r="148" customFormat="false" ht="17.4" hidden="false" customHeight="true" outlineLevel="0" collapsed="false">
      <c r="A148" s="65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  <c r="W148" s="33"/>
      <c r="X148" s="33"/>
      <c r="Y148" s="33"/>
      <c r="Z148" s="33"/>
      <c r="AA148" s="34"/>
    </row>
    <row r="149" customFormat="false" ht="18.9" hidden="false" customHeight="true" outlineLevel="0" collapsed="false">
      <c r="A149" s="35" t="s">
        <v>32</v>
      </c>
      <c r="B149" s="35" t="s">
        <v>38</v>
      </c>
      <c r="C149" s="36" t="n">
        <v>18800</v>
      </c>
      <c r="D149" s="35" t="s">
        <v>61</v>
      </c>
      <c r="E149" s="36" t="str">
        <f aca="false" t="array" ref="E149:E149">IF(F149&gt;100,"T1",IF(F149&gt;50,"T2",IF(F149&gt;10,"T3",IF(F149&gt;1,"T4",IF(F149=0,"TBD","T5")))))</f>
        <v>T3</v>
      </c>
      <c r="F149" s="36" t="n">
        <v>19.8</v>
      </c>
      <c r="G149" s="37" t="n">
        <v>0.307</v>
      </c>
      <c r="H149" s="37" t="n">
        <v>0.075</v>
      </c>
      <c r="I149" s="37" t="n">
        <v>0.917</v>
      </c>
      <c r="J149" s="37" t="n">
        <f aca="false" t="array" ref="J149:J149">O149/N149</f>
        <v>0.277063996091842</v>
      </c>
      <c r="K149" s="39" t="n">
        <f aca="false" t="array" ref="K149:K149">C149/O149</f>
        <v>0.41435246407476</v>
      </c>
      <c r="L149" s="39" t="n">
        <f aca="false" t="array" ref="L149:L149">C149/P149</f>
        <v>0.583542850048111</v>
      </c>
      <c r="M149" s="40" t="e">
        <f aca="false" t="array" ref="M149:M149">C149/Q149</f>
        <v>#VALUE!</v>
      </c>
      <c r="N149" s="40" t="n">
        <v>163760</v>
      </c>
      <c r="O149" s="40" t="n">
        <v>45372</v>
      </c>
      <c r="P149" s="36" t="n">
        <v>32217</v>
      </c>
      <c r="Q149" s="35" t="s">
        <v>38</v>
      </c>
      <c r="R149" s="37" t="n">
        <v>0.977</v>
      </c>
      <c r="S149" s="37" t="n">
        <v>0</v>
      </c>
      <c r="T149" s="35" t="s">
        <v>34</v>
      </c>
      <c r="U149" s="35" t="s">
        <v>34</v>
      </c>
      <c r="V149" s="87" t="s">
        <v>139</v>
      </c>
      <c r="W149" s="82" t="s">
        <v>67</v>
      </c>
      <c r="X149" s="82" t="s">
        <v>68</v>
      </c>
      <c r="Y149" s="83"/>
      <c r="Z149" s="83"/>
      <c r="AA149" s="87" t="s">
        <v>189</v>
      </c>
    </row>
    <row r="150" customFormat="false" ht="18.9" hidden="false" customHeight="true" outlineLevel="0" collapsed="false">
      <c r="A150" s="44" t="s">
        <v>32</v>
      </c>
      <c r="B150" s="45" t="n">
        <v>10000</v>
      </c>
      <c r="C150" s="45" t="n">
        <v>15000</v>
      </c>
      <c r="D150" s="44" t="s">
        <v>36</v>
      </c>
      <c r="E150" s="45" t="str">
        <f aca="false" t="array" ref="E150:E150">IF(F150&gt;100,"T1",IF(F150&gt;50,"T2",IF(F150&gt;10,"T3",IF(F150&gt;1,"T4",IF(F150=0,"TBD","T5")))))</f>
        <v>T3</v>
      </c>
      <c r="F150" s="45" t="n">
        <v>12</v>
      </c>
      <c r="G150" s="46" t="n">
        <v>0.287</v>
      </c>
      <c r="H150" s="46" t="n">
        <v>0.044</v>
      </c>
      <c r="I150" s="46" t="n">
        <v>0.8408</v>
      </c>
      <c r="J150" s="46" t="n">
        <f aca="false" t="array" ref="J150:J150">O150/N150</f>
        <v>0.235494129986128</v>
      </c>
      <c r="K150" s="48" t="n">
        <f aca="false" t="array" ref="K150:K150">C150/O150</f>
        <v>1.0775087996552</v>
      </c>
      <c r="L150" s="48" t="n">
        <f aca="false" t="array" ref="L150:L150">C150/P150</f>
        <v>9.07990314769976</v>
      </c>
      <c r="M150" s="49" t="n">
        <f aca="false" t="array" ref="M150:M150">C150/Q150</f>
        <v>3000</v>
      </c>
      <c r="N150" s="49" t="n">
        <v>59114</v>
      </c>
      <c r="O150" s="49" t="n">
        <v>13921</v>
      </c>
      <c r="P150" s="49" t="n">
        <v>1652</v>
      </c>
      <c r="Q150" s="45" t="n">
        <v>5</v>
      </c>
      <c r="R150" s="46" t="n">
        <v>0.855</v>
      </c>
      <c r="S150" s="46" t="n">
        <v>0.005</v>
      </c>
      <c r="T150" s="44" t="s">
        <v>34</v>
      </c>
      <c r="U150" s="44" t="s">
        <v>34</v>
      </c>
      <c r="V150" s="77"/>
      <c r="W150" s="73"/>
      <c r="X150" s="73"/>
      <c r="Y150" s="73"/>
      <c r="Z150" s="73"/>
      <c r="AA150" s="90" t="s">
        <v>190</v>
      </c>
    </row>
    <row r="151" customFormat="false" ht="18.9" hidden="false" customHeight="true" outlineLevel="0" collapsed="false">
      <c r="A151" s="44" t="s">
        <v>32</v>
      </c>
      <c r="B151" s="45" t="n">
        <v>7000</v>
      </c>
      <c r="C151" s="45" t="n">
        <v>13000</v>
      </c>
      <c r="D151" s="44" t="s">
        <v>36</v>
      </c>
      <c r="E151" s="45" t="str">
        <f aca="false" t="array" ref="E151:E151">IF(F151&gt;100,"T1",IF(F151&gt;50,"T2",IF(F151&gt;10,"T3",IF(F151&gt;1,"T4",IF(F151=0,"TBD","T5")))))</f>
        <v>T4</v>
      </c>
      <c r="F151" s="45" t="n">
        <v>10</v>
      </c>
      <c r="G151" s="46" t="n">
        <v>0.67</v>
      </c>
      <c r="H151" s="46" t="n">
        <v>0.022</v>
      </c>
      <c r="I151" s="46" t="n">
        <v>0.9706</v>
      </c>
      <c r="J151" s="46" t="n">
        <f aca="false" t="array" ref="J151:J151">O151/N151</f>
        <v>0.497961049005133</v>
      </c>
      <c r="K151" s="48" t="n">
        <f aca="false" t="array" ref="K151:K151">C151/O151</f>
        <v>0.91775503000353</v>
      </c>
      <c r="L151" s="48" t="n">
        <f aca="false" t="array" ref="L151:L151">C151/P151</f>
        <v>7.20620842572062</v>
      </c>
      <c r="M151" s="49" t="n">
        <f aca="false" t="array" ref="M151:M151">C151/Q151</f>
        <v>80.7453416149068</v>
      </c>
      <c r="N151" s="49" t="n">
        <v>28446</v>
      </c>
      <c r="O151" s="49" t="n">
        <v>14165</v>
      </c>
      <c r="P151" s="49" t="n">
        <v>1804</v>
      </c>
      <c r="Q151" s="45" t="n">
        <v>161</v>
      </c>
      <c r="R151" s="46" t="n">
        <v>0.821</v>
      </c>
      <c r="S151" s="46" t="n">
        <v>0.015</v>
      </c>
      <c r="T151" s="44" t="s">
        <v>34</v>
      </c>
      <c r="U151" s="46" t="n">
        <v>0.1296</v>
      </c>
      <c r="V151" s="77"/>
      <c r="W151" s="73"/>
      <c r="X151" s="73"/>
      <c r="Y151" s="73"/>
      <c r="Z151" s="73"/>
      <c r="AA151" s="90" t="s">
        <v>159</v>
      </c>
    </row>
    <row r="152" customFormat="false" ht="18.9" hidden="false" customHeight="true" outlineLevel="0" collapsed="false">
      <c r="A152" s="44" t="s">
        <v>32</v>
      </c>
      <c r="B152" s="44" t="s">
        <v>38</v>
      </c>
      <c r="C152" s="45" t="n">
        <v>3500</v>
      </c>
      <c r="D152" s="44" t="s">
        <v>61</v>
      </c>
      <c r="E152" s="45" t="str">
        <f aca="false" t="array" ref="E152:E152">IF(F152&gt;100,"T1",IF(F152&gt;50,"T2",IF(F152&gt;10,"T3",IF(F152&gt;1,"T4",IF(F152=0,"TBD","T5")))))</f>
        <v>T3</v>
      </c>
      <c r="F152" s="45" t="n">
        <v>10.3</v>
      </c>
      <c r="G152" s="46" t="n">
        <v>0.281</v>
      </c>
      <c r="H152" s="46" t="n">
        <v>0.093</v>
      </c>
      <c r="I152" s="46" t="n">
        <v>0.858</v>
      </c>
      <c r="J152" s="46" t="n">
        <f aca="false" t="array" ref="J152:J152">O152/N152</f>
        <v>0.537196876284422</v>
      </c>
      <c r="K152" s="48" t="n">
        <f aca="false" t="array" ref="K152:K152">C152/O152</f>
        <v>0.892629431267534</v>
      </c>
      <c r="L152" s="48" t="n">
        <f aca="false" t="array" ref="L152:L152">C152/P152</f>
        <v>11.9047619047619</v>
      </c>
      <c r="M152" s="49" t="n">
        <f aca="false" t="array" ref="M152:M152">C152/Q152</f>
        <v>67.3076923076923</v>
      </c>
      <c r="N152" s="49" t="n">
        <v>7299</v>
      </c>
      <c r="O152" s="49" t="n">
        <v>3921</v>
      </c>
      <c r="P152" s="45" t="n">
        <v>294</v>
      </c>
      <c r="Q152" s="45" t="n">
        <v>52</v>
      </c>
      <c r="R152" s="46" t="n">
        <v>0.837</v>
      </c>
      <c r="S152" s="46" t="n">
        <v>0.004</v>
      </c>
      <c r="T152" s="44" t="s">
        <v>34</v>
      </c>
      <c r="U152" s="46" t="n">
        <v>0.463</v>
      </c>
      <c r="V152" s="77"/>
      <c r="W152" s="73"/>
      <c r="X152" s="73"/>
      <c r="Y152" s="73"/>
      <c r="Z152" s="73"/>
      <c r="AA152" s="90" t="s">
        <v>191</v>
      </c>
    </row>
    <row r="153" customFormat="false" ht="18.9" hidden="false" customHeight="true" outlineLevel="0" collapsed="false">
      <c r="A153" s="44" t="s">
        <v>32</v>
      </c>
      <c r="B153" s="45" t="n">
        <v>8000</v>
      </c>
      <c r="C153" s="45" t="n">
        <v>10000</v>
      </c>
      <c r="D153" s="44" t="s">
        <v>36</v>
      </c>
      <c r="E153" s="45" t="str">
        <f aca="false" t="array" ref="E153:E153">IF(F153&gt;100,"T1",IF(F153&gt;50,"T2",IF(F153&gt;10,"T3",IF(F153&gt;1,"T4",IF(F153=0,"TBD","T5")))))</f>
        <v>T4</v>
      </c>
      <c r="F153" s="45" t="n">
        <v>7.6</v>
      </c>
      <c r="G153" s="46" t="n">
        <v>0.581</v>
      </c>
      <c r="H153" s="46" t="n">
        <v>0.025</v>
      </c>
      <c r="I153" s="46" t="n">
        <v>0.9652</v>
      </c>
      <c r="J153" s="46" t="n">
        <f aca="false" t="array" ref="J153:J153">O153/N153</f>
        <v>0.2056350437664</v>
      </c>
      <c r="K153" s="48" t="n">
        <f aca="false" t="array" ref="K153:K153">C153/O153</f>
        <v>0.931445603576751</v>
      </c>
      <c r="L153" s="48" t="n">
        <f aca="false" t="array" ref="L153:L153">C153/P153</f>
        <v>12.5156445556946</v>
      </c>
      <c r="M153" s="49" t="e">
        <f aca="false" t="array" ref="M153:M153">C153/Q153</f>
        <v>#VALUE!</v>
      </c>
      <c r="N153" s="49" t="n">
        <v>52209</v>
      </c>
      <c r="O153" s="49" t="n">
        <v>10736</v>
      </c>
      <c r="P153" s="45" t="n">
        <v>799</v>
      </c>
      <c r="Q153" s="44" t="s">
        <v>38</v>
      </c>
      <c r="R153" s="46" t="n">
        <v>0.698</v>
      </c>
      <c r="S153" s="46" t="n">
        <v>0.012</v>
      </c>
      <c r="T153" s="44" t="s">
        <v>34</v>
      </c>
      <c r="U153" s="44" t="s">
        <v>34</v>
      </c>
      <c r="V153" s="77"/>
      <c r="W153" s="73"/>
      <c r="X153" s="73"/>
      <c r="Y153" s="73"/>
      <c r="Z153" s="73"/>
      <c r="AA153" s="90" t="s">
        <v>130</v>
      </c>
    </row>
    <row r="154" customFormat="false" ht="18.9" hidden="false" customHeight="true" outlineLevel="0" collapsed="false">
      <c r="A154" s="44" t="s">
        <v>32</v>
      </c>
      <c r="B154" s="45" t="n">
        <v>3000</v>
      </c>
      <c r="C154" s="45" t="n">
        <v>4000</v>
      </c>
      <c r="D154" s="44" t="s">
        <v>36</v>
      </c>
      <c r="E154" s="45" t="str">
        <f aca="false" t="array" ref="E154:E154">IF(F154&gt;100,"T1",IF(F154&gt;50,"T2",IF(F154&gt;10,"T3",IF(F154&gt;1,"T4",IF(F154=0,"TBD","T5")))))</f>
        <v>T4</v>
      </c>
      <c r="F154" s="45" t="n">
        <v>6.5</v>
      </c>
      <c r="G154" s="46" t="n">
        <v>0.552</v>
      </c>
      <c r="H154" s="46" t="n">
        <v>0.035</v>
      </c>
      <c r="I154" s="46" t="n">
        <v>0.8638</v>
      </c>
      <c r="J154" s="46" t="n">
        <f aca="false" t="array" ref="J154:J154">O154/N154</f>
        <v>0.159926925345868</v>
      </c>
      <c r="K154" s="48" t="n">
        <f aca="false" t="array" ref="K154:K154">C154/O154</f>
        <v>0.475963826749167</v>
      </c>
      <c r="L154" s="48" t="n">
        <f aca="false" t="array" ref="L154:L154">C154/P154</f>
        <v>10.1522842639594</v>
      </c>
      <c r="M154" s="49" t="n">
        <f aca="false" t="array" ref="M154:M154">C154/Q154</f>
        <v>71.4285714285714</v>
      </c>
      <c r="N154" s="49" t="n">
        <v>52549</v>
      </c>
      <c r="O154" s="49" t="n">
        <v>8404</v>
      </c>
      <c r="P154" s="45" t="n">
        <v>394</v>
      </c>
      <c r="Q154" s="45" t="n">
        <v>56</v>
      </c>
      <c r="R154" s="46" t="n">
        <v>0.314</v>
      </c>
      <c r="S154" s="46" t="n">
        <v>0.13</v>
      </c>
      <c r="T154" s="44" t="s">
        <v>34</v>
      </c>
      <c r="U154" s="44" t="s">
        <v>34</v>
      </c>
      <c r="V154" s="77"/>
      <c r="W154" s="73"/>
      <c r="X154" s="73"/>
      <c r="Y154" s="73"/>
      <c r="Z154" s="73"/>
      <c r="AA154" s="90" t="s">
        <v>192</v>
      </c>
    </row>
    <row r="155" customFormat="false" ht="18.9" hidden="false" customHeight="true" outlineLevel="0" collapsed="false">
      <c r="A155" s="44" t="s">
        <v>32</v>
      </c>
      <c r="B155" s="45" t="n">
        <v>5000</v>
      </c>
      <c r="C155" s="45" t="n">
        <v>80000</v>
      </c>
      <c r="D155" s="44" t="s">
        <v>36</v>
      </c>
      <c r="E155" s="45" t="str">
        <f aca="false" t="array" ref="E155:E155">IF(F155&gt;100,"T1",IF(F155&gt;50,"T2",IF(F155&gt;10,"T3",IF(F155&gt;1,"T4",IF(F155=0,"TBD","T5")))))</f>
        <v>T3</v>
      </c>
      <c r="F155" s="45" t="n">
        <v>10.1</v>
      </c>
      <c r="G155" s="46" t="n">
        <v>0.566</v>
      </c>
      <c r="H155" s="46" t="n">
        <v>0.026</v>
      </c>
      <c r="I155" s="46" t="n">
        <v>0.7425</v>
      </c>
      <c r="J155" s="46" t="n">
        <f aca="false" t="array" ref="J155:J155">O155/N155</f>
        <v>0.187346375298832</v>
      </c>
      <c r="K155" s="48" t="n">
        <f aca="false" t="array" ref="K155:K155">C155/O155</f>
        <v>14.3781452192667</v>
      </c>
      <c r="L155" s="48" t="n">
        <f aca="false" t="array" ref="L155:L155">C155/P155</f>
        <v>61.3967766692249</v>
      </c>
      <c r="M155" s="49" t="e">
        <f aca="false" t="array" ref="M155:M155">C155/Q155</f>
        <v>#VALUE!</v>
      </c>
      <c r="N155" s="49" t="n">
        <v>29699</v>
      </c>
      <c r="O155" s="45" t="n">
        <v>5564</v>
      </c>
      <c r="P155" s="49" t="n">
        <v>1303</v>
      </c>
      <c r="Q155" s="44" t="s">
        <v>38</v>
      </c>
      <c r="R155" s="46" t="n">
        <v>0.608</v>
      </c>
      <c r="S155" s="46" t="n">
        <v>0.013</v>
      </c>
      <c r="T155" s="44" t="s">
        <v>34</v>
      </c>
      <c r="U155" s="46" t="n">
        <v>0.1452</v>
      </c>
      <c r="V155" s="77"/>
      <c r="W155" s="73"/>
      <c r="X155" s="73"/>
      <c r="Y155" s="73"/>
      <c r="Z155" s="73"/>
      <c r="AA155" s="90" t="s">
        <v>193</v>
      </c>
    </row>
    <row r="156" customFormat="false" ht="18.9" hidden="false" customHeight="true" outlineLevel="0" collapsed="false">
      <c r="A156" s="44" t="s">
        <v>32</v>
      </c>
      <c r="B156" s="45" t="n">
        <v>5500</v>
      </c>
      <c r="C156" s="45" t="n">
        <v>10000</v>
      </c>
      <c r="D156" s="44" t="s">
        <v>36</v>
      </c>
      <c r="E156" s="45" t="str">
        <f aca="false" t="array" ref="E156:E156">IF(F156&gt;100,"T1",IF(F156&gt;50,"T2",IF(F156&gt;10,"T3",IF(F156&gt;1,"T4",IF(F156=0,"TBD","T5")))))</f>
        <v>T3</v>
      </c>
      <c r="F156" s="45" t="n">
        <v>11.6</v>
      </c>
      <c r="G156" s="46" t="n">
        <v>0.527</v>
      </c>
      <c r="H156" s="46" t="n">
        <v>0.026</v>
      </c>
      <c r="I156" s="46" t="n">
        <v>0.9577</v>
      </c>
      <c r="J156" s="46" t="n">
        <f aca="false" t="array" ref="J156:J156">O156/N156</f>
        <v>0.114701704545455</v>
      </c>
      <c r="K156" s="48" t="n">
        <f aca="false" t="array" ref="K156:K156">C156/O156</f>
        <v>3.43997248022016</v>
      </c>
      <c r="L156" s="48" t="n">
        <f aca="false" t="array" ref="L156:L156">C156/P156</f>
        <v>38.1679389312977</v>
      </c>
      <c r="M156" s="49" t="n">
        <f aca="false" t="array" ref="M156:M156">C156/Q156</f>
        <v>27.9329608938547</v>
      </c>
      <c r="N156" s="49" t="n">
        <v>25344</v>
      </c>
      <c r="O156" s="45" t="n">
        <v>2907</v>
      </c>
      <c r="P156" s="45" t="n">
        <v>262</v>
      </c>
      <c r="Q156" s="45" t="n">
        <v>358</v>
      </c>
      <c r="R156" s="46" t="n">
        <v>0.296</v>
      </c>
      <c r="S156" s="46" t="n">
        <v>0.046</v>
      </c>
      <c r="T156" s="44" t="s">
        <v>34</v>
      </c>
      <c r="U156" s="46" t="n">
        <v>0.4229</v>
      </c>
      <c r="V156" s="77"/>
      <c r="W156" s="73"/>
      <c r="X156" s="73"/>
      <c r="Y156" s="73"/>
      <c r="Z156" s="73"/>
      <c r="AA156" s="90" t="s">
        <v>194</v>
      </c>
    </row>
    <row r="157" customFormat="false" ht="18.9" hidden="false" customHeight="true" outlineLevel="0" collapsed="false">
      <c r="A157" s="44" t="s">
        <v>32</v>
      </c>
      <c r="B157" s="45" t="n">
        <v>6500</v>
      </c>
      <c r="C157" s="45" t="n">
        <v>7000</v>
      </c>
      <c r="D157" s="44" t="s">
        <v>36</v>
      </c>
      <c r="E157" s="45" t="str">
        <f aca="false" t="array" ref="E157:E157">IF(F157&gt;100,"T1",IF(F157&gt;50,"T2",IF(F157&gt;10,"T3",IF(F157&gt;1,"T4",IF(F157=0,"TBD","T5")))))</f>
        <v>T4</v>
      </c>
      <c r="F157" s="45" t="n">
        <v>7</v>
      </c>
      <c r="G157" s="46" t="n">
        <v>0.423</v>
      </c>
      <c r="H157" s="46" t="n">
        <v>0.07</v>
      </c>
      <c r="I157" s="46" t="n">
        <v>0.6875</v>
      </c>
      <c r="J157" s="46" t="n">
        <f aca="false" t="array" ref="J157:J157">O157/N157</f>
        <v>0.19281583723777</v>
      </c>
      <c r="K157" s="48" t="n">
        <f aca="false" t="array" ref="K157:K157">C157/O157</f>
        <v>1.53239929947461</v>
      </c>
      <c r="L157" s="48" t="n">
        <f aca="false" t="array" ref="L157:L157">C157/P157</f>
        <v>10.0143061516452</v>
      </c>
      <c r="M157" s="49" t="n">
        <f aca="false" t="array" ref="M157:M157">C157/Q157</f>
        <v>29.9145299145299</v>
      </c>
      <c r="N157" s="49" t="n">
        <v>23691</v>
      </c>
      <c r="O157" s="45" t="n">
        <v>4568</v>
      </c>
      <c r="P157" s="45" t="n">
        <v>699</v>
      </c>
      <c r="Q157" s="45" t="n">
        <v>234</v>
      </c>
      <c r="R157" s="46" t="n">
        <v>0.494</v>
      </c>
      <c r="S157" s="46" t="n">
        <v>0.015</v>
      </c>
      <c r="T157" s="44" t="s">
        <v>34</v>
      </c>
      <c r="U157" s="44" t="s">
        <v>34</v>
      </c>
      <c r="V157" s="77"/>
      <c r="W157" s="73"/>
      <c r="X157" s="73"/>
      <c r="Y157" s="73"/>
      <c r="Z157" s="73"/>
      <c r="AA157" s="90" t="s">
        <v>177</v>
      </c>
    </row>
    <row r="158" customFormat="false" ht="18.9" hidden="false" customHeight="true" outlineLevel="0" collapsed="false">
      <c r="A158" s="44" t="s">
        <v>32</v>
      </c>
      <c r="B158" s="45" t="n">
        <v>7000</v>
      </c>
      <c r="C158" s="45" t="n">
        <v>8300</v>
      </c>
      <c r="D158" s="44" t="s">
        <v>36</v>
      </c>
      <c r="E158" s="45" t="str">
        <f aca="false" t="array" ref="E158:E158">IF(F158&gt;100,"T1",IF(F158&gt;50,"T2",IF(F158&gt;10,"T3",IF(F158&gt;1,"T4",IF(F158=0,"TBD","T5")))))</f>
        <v>T4</v>
      </c>
      <c r="F158" s="45" t="n">
        <v>5.3</v>
      </c>
      <c r="G158" s="46" t="n">
        <v>0.63</v>
      </c>
      <c r="H158" s="46" t="n">
        <v>0.034</v>
      </c>
      <c r="I158" s="46" t="n">
        <v>0.9355</v>
      </c>
      <c r="J158" s="46" t="n">
        <f aca="false" t="array" ref="J158:J158">O158/N158</f>
        <v>0.140746774283123</v>
      </c>
      <c r="K158" s="48" t="n">
        <f aca="false" t="array" ref="K158:K158">C158/O158</f>
        <v>1.09167433907668</v>
      </c>
      <c r="L158" s="48" t="n">
        <f aca="false" t="array" ref="L158:L158">C158/P158</f>
        <v>16.147859922179</v>
      </c>
      <c r="M158" s="49" t="n">
        <f aca="false" t="array" ref="M158:M158">C158/Q158</f>
        <v>1037.5</v>
      </c>
      <c r="N158" s="49" t="n">
        <v>54019</v>
      </c>
      <c r="O158" s="49" t="n">
        <v>7603</v>
      </c>
      <c r="P158" s="45" t="n">
        <v>514</v>
      </c>
      <c r="Q158" s="45" t="n">
        <v>8</v>
      </c>
      <c r="R158" s="46" t="n">
        <v>0.681</v>
      </c>
      <c r="S158" s="46" t="n">
        <v>0.017</v>
      </c>
      <c r="T158" s="44" t="s">
        <v>34</v>
      </c>
      <c r="U158" s="46" t="n">
        <v>0.4706</v>
      </c>
      <c r="V158" s="77"/>
      <c r="W158" s="73"/>
      <c r="X158" s="73"/>
      <c r="Y158" s="73"/>
      <c r="Z158" s="73"/>
      <c r="AA158" s="90" t="s">
        <v>195</v>
      </c>
    </row>
    <row r="159" customFormat="false" ht="18.9" hidden="false" customHeight="true" outlineLevel="0" collapsed="false">
      <c r="A159" s="44" t="s">
        <v>32</v>
      </c>
      <c r="B159" s="45" t="n">
        <v>8003</v>
      </c>
      <c r="C159" s="45" t="n">
        <v>15000</v>
      </c>
      <c r="D159" s="44" t="s">
        <v>36</v>
      </c>
      <c r="E159" s="45" t="str">
        <f aca="false" t="array" ref="E159:E159">IF(F159&gt;100,"T1",IF(F159&gt;50,"T2",IF(F159&gt;10,"T3",IF(F159&gt;1,"T4",IF(F159=0,"TBD","T5")))))</f>
        <v>T4</v>
      </c>
      <c r="F159" s="45" t="n">
        <v>8.2</v>
      </c>
      <c r="G159" s="46" t="n">
        <v>0.225</v>
      </c>
      <c r="H159" s="46" t="n">
        <v>0.047</v>
      </c>
      <c r="I159" s="46" t="n">
        <v>0.8494</v>
      </c>
      <c r="J159" s="46" t="n">
        <f aca="false" t="array" ref="J159:J159">O159/N159</f>
        <v>0.16005647759074</v>
      </c>
      <c r="K159" s="48" t="n">
        <f aca="false" t="array" ref="K159:K159">C159/O159</f>
        <v>0.792351170038561</v>
      </c>
      <c r="L159" s="48" t="n">
        <f aca="false" t="array" ref="L159:L159">C159/P159</f>
        <v>12.7442650807137</v>
      </c>
      <c r="M159" s="49" t="n">
        <f aca="false" t="array" ref="M159:M159">C159/Q159</f>
        <v>33.5570469798658</v>
      </c>
      <c r="N159" s="49" t="n">
        <v>118277</v>
      </c>
      <c r="O159" s="45" t="n">
        <v>18931</v>
      </c>
      <c r="P159" s="49" t="n">
        <v>1177</v>
      </c>
      <c r="Q159" s="45" t="n">
        <v>447</v>
      </c>
      <c r="R159" s="46" t="n">
        <v>0.682</v>
      </c>
      <c r="S159" s="46" t="n">
        <v>0.004</v>
      </c>
      <c r="T159" s="44" t="s">
        <v>34</v>
      </c>
      <c r="U159" s="46" t="n">
        <v>0.3303</v>
      </c>
      <c r="V159" s="77"/>
      <c r="W159" s="73"/>
      <c r="X159" s="73"/>
      <c r="Y159" s="73"/>
      <c r="Z159" s="73"/>
      <c r="AA159" s="96" t="s">
        <v>196</v>
      </c>
    </row>
    <row r="160" customFormat="false" ht="18.9" hidden="false" customHeight="true" outlineLevel="0" collapsed="false">
      <c r="A160" s="44" t="s">
        <v>32</v>
      </c>
      <c r="B160" s="45" t="n">
        <v>11000</v>
      </c>
      <c r="C160" s="45" t="n">
        <v>16000</v>
      </c>
      <c r="D160" s="44" t="s">
        <v>33</v>
      </c>
      <c r="E160" s="45" t="str">
        <f aca="false" t="array" ref="E160:E160">IF(F160&gt;100,"T1",IF(F160&gt;50,"T2",IF(F160&gt;10,"T3",IF(F160&gt;1,"T4",IF(F160=0,"TBD","T5")))))</f>
        <v>T3</v>
      </c>
      <c r="F160" s="45" t="n">
        <v>11.6</v>
      </c>
      <c r="G160" s="46" t="n">
        <v>0.414</v>
      </c>
      <c r="H160" s="46" t="n">
        <v>0.05</v>
      </c>
      <c r="I160" s="46" t="n">
        <v>0.4624</v>
      </c>
      <c r="J160" s="46" t="n">
        <f aca="false" t="array" ref="J160:J160">O160/N160</f>
        <v>0.125581022599776</v>
      </c>
      <c r="K160" s="48" t="n">
        <f aca="false" t="array" ref="K160:K160">C160/O160</f>
        <v>5.10529674537333</v>
      </c>
      <c r="L160" s="48" t="n">
        <f aca="false" t="array" ref="L160:L160">C160/P160</f>
        <v>65.3061224489796</v>
      </c>
      <c r="M160" s="49" t="n">
        <f aca="false" t="array" ref="M160:M160">C160/Q160</f>
        <v>9.8219766728054</v>
      </c>
      <c r="N160" s="49" t="n">
        <v>24956</v>
      </c>
      <c r="O160" s="45" t="n">
        <v>3134</v>
      </c>
      <c r="P160" s="45" t="n">
        <v>245</v>
      </c>
      <c r="Q160" s="45" t="n">
        <v>1629</v>
      </c>
      <c r="R160" s="46" t="n">
        <v>0.164</v>
      </c>
      <c r="S160" s="46" t="n">
        <v>0.162</v>
      </c>
      <c r="T160" s="44" t="s">
        <v>34</v>
      </c>
      <c r="U160" s="44" t="s">
        <v>34</v>
      </c>
      <c r="V160" s="77"/>
      <c r="W160" s="73"/>
      <c r="X160" s="73"/>
      <c r="Y160" s="73"/>
      <c r="Z160" s="78"/>
      <c r="AA160" s="79" t="s">
        <v>107</v>
      </c>
    </row>
    <row r="161" customFormat="false" ht="18.9" hidden="false" customHeight="true" outlineLevel="0" collapsed="false">
      <c r="A161" s="52" t="s">
        <v>32</v>
      </c>
      <c r="B161" s="53" t="n">
        <v>12000</v>
      </c>
      <c r="C161" s="53" t="n">
        <v>20000</v>
      </c>
      <c r="D161" s="52" t="s">
        <v>36</v>
      </c>
      <c r="E161" s="53" t="str">
        <f aca="false" t="array" ref="E161:E161">IF(F161&gt;100,"T1",IF(F161&gt;50,"T2",IF(F161&gt;10,"T3",IF(F161&gt;1,"T4",IF(F161=0,"TBD","T5")))))</f>
        <v>T4</v>
      </c>
      <c r="F161" s="53" t="n">
        <v>6.1</v>
      </c>
      <c r="G161" s="54" t="n">
        <v>0.643</v>
      </c>
      <c r="H161" s="54" t="n">
        <v>0.025</v>
      </c>
      <c r="I161" s="54" t="n">
        <v>0.9606</v>
      </c>
      <c r="J161" s="54" t="n">
        <f aca="false" t="array" ref="J161:J161">O161/N161</f>
        <v>0.100802326207528</v>
      </c>
      <c r="K161" s="56" t="n">
        <f aca="false" t="array" ref="K161:K161">C161/O161</f>
        <v>5.34188034188034</v>
      </c>
      <c r="L161" s="56" t="n">
        <f aca="false" t="array" ref="L161:L161">C161/P161</f>
        <v>16.4203612479475</v>
      </c>
      <c r="M161" s="57" t="n">
        <f aca="false" t="array" ref="M161:M161">C161/Q161</f>
        <v>285.714285714286</v>
      </c>
      <c r="N161" s="57" t="n">
        <v>37142</v>
      </c>
      <c r="O161" s="53" t="n">
        <v>3744</v>
      </c>
      <c r="P161" s="57" t="n">
        <v>1218</v>
      </c>
      <c r="Q161" s="53" t="n">
        <v>70</v>
      </c>
      <c r="R161" s="54" t="n">
        <v>0.822</v>
      </c>
      <c r="S161" s="54" t="n">
        <v>0.003</v>
      </c>
      <c r="T161" s="52" t="s">
        <v>34</v>
      </c>
      <c r="U161" s="54" t="n">
        <v>0.1018</v>
      </c>
      <c r="V161" s="107"/>
      <c r="W161" s="92"/>
      <c r="X161" s="92"/>
      <c r="Y161" s="92"/>
      <c r="Z161" s="92"/>
      <c r="AA161" s="114" t="s">
        <v>197</v>
      </c>
    </row>
    <row r="162" customFormat="false" ht="18" hidden="false" customHeight="true" outlineLevel="0" collapsed="false">
      <c r="A162" s="65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4"/>
      <c r="W162" s="33"/>
      <c r="X162" s="33"/>
      <c r="Y162" s="33"/>
      <c r="Z162" s="33"/>
      <c r="AA162" s="34"/>
    </row>
    <row r="163" customFormat="false" ht="18.9" hidden="false" customHeight="true" outlineLevel="0" collapsed="false">
      <c r="A163" s="35" t="s">
        <v>32</v>
      </c>
      <c r="B163" s="36" t="n">
        <v>13000</v>
      </c>
      <c r="C163" s="36" t="n">
        <v>27300</v>
      </c>
      <c r="D163" s="35" t="s">
        <v>33</v>
      </c>
      <c r="E163" s="36" t="str">
        <f aca="false" t="array" ref="E163:E163">IF(F163&gt;100,"T1",IF(F163&gt;50,"T2",IF(F163&gt;10,"T3",IF(F163&gt;1,"T4",IF(F163=0,"TBD","T5")))))</f>
        <v>T3</v>
      </c>
      <c r="F163" s="36" t="n">
        <v>18.3</v>
      </c>
      <c r="G163" s="37" t="n">
        <v>0.397</v>
      </c>
      <c r="H163" s="37" t="n">
        <v>0.033</v>
      </c>
      <c r="I163" s="37" t="n">
        <v>0.9708</v>
      </c>
      <c r="J163" s="37" t="n">
        <f aca="false" t="array" ref="J163:J163">O163/N163</f>
        <v>0.11986531986532</v>
      </c>
      <c r="K163" s="39" t="n">
        <f aca="false" t="array" ref="K163:K163">C163/O163</f>
        <v>13.9427987742594</v>
      </c>
      <c r="L163" s="39" t="n">
        <f aca="false" t="array" ref="L163:L163">C163/P163</f>
        <v>14.4981412639405</v>
      </c>
      <c r="M163" s="40" t="n">
        <f aca="false" t="array" ref="M163:M163">C163/Q163</f>
        <v>150</v>
      </c>
      <c r="N163" s="40" t="n">
        <v>16335</v>
      </c>
      <c r="O163" s="40" t="n">
        <v>1958</v>
      </c>
      <c r="P163" s="36" t="n">
        <v>1883</v>
      </c>
      <c r="Q163" s="36" t="n">
        <v>182</v>
      </c>
      <c r="R163" s="37" t="n">
        <v>0.423</v>
      </c>
      <c r="S163" s="37" t="n">
        <v>0.035</v>
      </c>
      <c r="T163" s="35" t="s">
        <v>34</v>
      </c>
      <c r="U163" s="37" t="n">
        <v>0.097</v>
      </c>
      <c r="V163" s="102"/>
      <c r="W163" s="83"/>
      <c r="X163" s="83"/>
      <c r="Y163" s="83"/>
      <c r="Z163" s="83"/>
      <c r="AA163" s="87" t="s">
        <v>198</v>
      </c>
    </row>
    <row r="164" customFormat="false" ht="18.9" hidden="false" customHeight="true" outlineLevel="0" collapsed="false">
      <c r="A164" s="44" t="s">
        <v>32</v>
      </c>
      <c r="B164" s="45" t="n">
        <v>13000</v>
      </c>
      <c r="C164" s="45" t="n">
        <v>19800</v>
      </c>
      <c r="D164" s="44" t="s">
        <v>36</v>
      </c>
      <c r="E164" s="45" t="str">
        <f aca="false" t="array" ref="E164:E164">IF(F164&gt;100,"T1",IF(F164&gt;50,"T2",IF(F164&gt;10,"T3",IF(F164&gt;1,"T4",IF(F164=0,"TBD","T5")))))</f>
        <v>T3</v>
      </c>
      <c r="F164" s="45" t="n">
        <v>24.6</v>
      </c>
      <c r="G164" s="46" t="n">
        <v>0.459</v>
      </c>
      <c r="H164" s="46" t="n">
        <v>0.051</v>
      </c>
      <c r="I164" s="46" t="n">
        <v>0.9183</v>
      </c>
      <c r="J164" s="46" t="n">
        <f aca="false" t="array" ref="J164:J164">O164/N164</f>
        <v>0.260233139937191</v>
      </c>
      <c r="K164" s="48" t="n">
        <f aca="false" t="array" ref="K164:K164">C164/O164</f>
        <v>4.04990795663735</v>
      </c>
      <c r="L164" s="48" t="n">
        <f aca="false" t="array" ref="L164:L164">C164/P164</f>
        <v>53.083109919571</v>
      </c>
      <c r="M164" s="49" t="e">
        <f aca="false" t="array" ref="M164:M164">C164/Q164</f>
        <v>#VALUE!</v>
      </c>
      <c r="N164" s="49" t="n">
        <v>18787</v>
      </c>
      <c r="O164" s="49" t="n">
        <v>4889</v>
      </c>
      <c r="P164" s="45" t="n">
        <v>373</v>
      </c>
      <c r="Q164" s="44" t="s">
        <v>38</v>
      </c>
      <c r="R164" s="46" t="n">
        <v>0.95</v>
      </c>
      <c r="S164" s="46" t="n">
        <v>0.002</v>
      </c>
      <c r="T164" s="44" t="s">
        <v>34</v>
      </c>
      <c r="U164" s="44" t="s">
        <v>34</v>
      </c>
      <c r="V164" s="77"/>
      <c r="W164" s="73"/>
      <c r="X164" s="73"/>
      <c r="Y164" s="73"/>
      <c r="Z164" s="73"/>
      <c r="AA164" s="105" t="s">
        <v>146</v>
      </c>
    </row>
    <row r="165" customFormat="false" ht="18.9" hidden="false" customHeight="true" outlineLevel="0" collapsed="false">
      <c r="A165" s="44" t="s">
        <v>32</v>
      </c>
      <c r="B165" s="45" t="n">
        <v>12000</v>
      </c>
      <c r="C165" s="45" t="n">
        <v>15000</v>
      </c>
      <c r="D165" s="44" t="s">
        <v>36</v>
      </c>
      <c r="E165" s="45" t="str">
        <f aca="false" t="array" ref="E165:E165">IF(F165&gt;100,"T1",IF(F165&gt;50,"T2",IF(F165&gt;10,"T3",IF(F165&gt;1,"T4",IF(F165=0,"TBD","T5")))))</f>
        <v>T4</v>
      </c>
      <c r="F165" s="45" t="n">
        <v>3.1</v>
      </c>
      <c r="G165" s="46" t="n">
        <v>0.513</v>
      </c>
      <c r="H165" s="46" t="n">
        <v>0.035</v>
      </c>
      <c r="I165" s="46" t="n">
        <v>0.6942</v>
      </c>
      <c r="J165" s="46" t="n">
        <f aca="false" t="array" ref="J165:J165">O165/N165</f>
        <v>0.156023114535487</v>
      </c>
      <c r="K165" s="48" t="n">
        <f aca="false" t="array" ref="K165:K165">C165/O165</f>
        <v>7.12250712250712</v>
      </c>
      <c r="L165" s="48" t="n">
        <f aca="false" t="array" ref="L165:L165">C165/P165</f>
        <v>21.5827338129496</v>
      </c>
      <c r="M165" s="49" t="n">
        <f aca="false" t="array" ref="M165:M165">C165/Q165</f>
        <v>300</v>
      </c>
      <c r="N165" s="49" t="n">
        <v>13498</v>
      </c>
      <c r="O165" s="49" t="n">
        <v>2106</v>
      </c>
      <c r="P165" s="45" t="n">
        <v>695</v>
      </c>
      <c r="Q165" s="45" t="n">
        <v>50</v>
      </c>
      <c r="R165" s="46" t="n">
        <v>0.74</v>
      </c>
      <c r="S165" s="46" t="n">
        <v>0.056</v>
      </c>
      <c r="T165" s="44" t="s">
        <v>34</v>
      </c>
      <c r="U165" s="46" t="n">
        <v>0.1399</v>
      </c>
      <c r="V165" s="77"/>
      <c r="W165" s="73"/>
      <c r="X165" s="73"/>
      <c r="Y165" s="73"/>
      <c r="Z165" s="73"/>
      <c r="AA165" s="105" t="s">
        <v>177</v>
      </c>
    </row>
    <row r="166" customFormat="false" ht="18.9" hidden="false" customHeight="true" outlineLevel="0" collapsed="false">
      <c r="A166" s="44" t="s">
        <v>32</v>
      </c>
      <c r="B166" s="45" t="n">
        <v>5600</v>
      </c>
      <c r="C166" s="45" t="n">
        <v>7000</v>
      </c>
      <c r="D166" s="44" t="s">
        <v>33</v>
      </c>
      <c r="E166" s="45" t="str">
        <f aca="false" t="array" ref="E166:E166">IF(F166&gt;100,"T1",IF(F166&gt;50,"T2",IF(F166&gt;10,"T3",IF(F166&gt;1,"T4",IF(F166=0,"TBD","T5")))))</f>
        <v>T4</v>
      </c>
      <c r="F166" s="45" t="n">
        <v>5.2</v>
      </c>
      <c r="G166" s="46" t="n">
        <v>0.382</v>
      </c>
      <c r="H166" s="46" t="n">
        <v>0.054</v>
      </c>
      <c r="I166" s="46" t="n">
        <v>0.863</v>
      </c>
      <c r="J166" s="46" t="n">
        <f aca="false" t="array" ref="J166:J166">O166/N166</f>
        <v>0.384449244060475</v>
      </c>
      <c r="K166" s="48" t="n">
        <f aca="false" t="array" ref="K166:K166">C166/O166</f>
        <v>3.93258426966292</v>
      </c>
      <c r="L166" s="48" t="n">
        <f aca="false" t="array" ref="L166:L166">C166/P166</f>
        <v>15.3172866520788</v>
      </c>
      <c r="M166" s="49" t="n">
        <f aca="false" t="array" ref="M166:M166">C166/Q166</f>
        <v>63.6363636363636</v>
      </c>
      <c r="N166" s="49" t="n">
        <v>4630</v>
      </c>
      <c r="O166" s="49" t="n">
        <v>1780</v>
      </c>
      <c r="P166" s="45" t="n">
        <v>457</v>
      </c>
      <c r="Q166" s="45" t="n">
        <v>110</v>
      </c>
      <c r="R166" s="46" t="n">
        <v>0.133</v>
      </c>
      <c r="S166" s="46" t="n">
        <v>0.299</v>
      </c>
      <c r="T166" s="44" t="s">
        <v>34</v>
      </c>
      <c r="U166" s="46" t="n">
        <v>0.1023</v>
      </c>
      <c r="V166" s="77"/>
      <c r="W166" s="73"/>
      <c r="X166" s="73"/>
      <c r="Y166" s="73"/>
      <c r="Z166" s="73"/>
      <c r="AA166" s="96" t="s">
        <v>199</v>
      </c>
    </row>
    <row r="167" customFormat="false" ht="18.9" hidden="false" customHeight="true" outlineLevel="0" collapsed="false">
      <c r="A167" s="44" t="s">
        <v>32</v>
      </c>
      <c r="B167" s="45" t="n">
        <v>12000</v>
      </c>
      <c r="C167" s="45" t="n">
        <v>16000</v>
      </c>
      <c r="D167" s="44" t="s">
        <v>36</v>
      </c>
      <c r="E167" s="45" t="str">
        <f aca="false" t="array" ref="E167:E167">IF(F167&gt;100,"T1",IF(F167&gt;50,"T2",IF(F167&gt;10,"T3",IF(F167&gt;1,"T4",IF(F167=0,"TBD","T5")))))</f>
        <v>T4</v>
      </c>
      <c r="F167" s="45" t="n">
        <v>6.6</v>
      </c>
      <c r="G167" s="46" t="n">
        <v>0.256</v>
      </c>
      <c r="H167" s="46" t="n">
        <v>0.059</v>
      </c>
      <c r="I167" s="46" t="n">
        <v>0.9124</v>
      </c>
      <c r="J167" s="46" t="n">
        <f aca="false" t="array" ref="J167:J167">O167/N167</f>
        <v>0.184441469582032</v>
      </c>
      <c r="K167" s="48" t="n">
        <f aca="false" t="array" ref="K167:K167">C167/O167</f>
        <v>6.45161290322581</v>
      </c>
      <c r="L167" s="48" t="n">
        <f aca="false" t="array" ref="L167:L167">C167/P167</f>
        <v>2.3598820058997</v>
      </c>
      <c r="M167" s="49" t="n">
        <f aca="false" t="array" ref="M167:M167">C167/Q167</f>
        <v>74.0740740740741</v>
      </c>
      <c r="N167" s="49" t="n">
        <v>13446</v>
      </c>
      <c r="O167" s="49" t="n">
        <v>2480</v>
      </c>
      <c r="P167" s="49" t="n">
        <v>6780</v>
      </c>
      <c r="Q167" s="45" t="n">
        <v>216</v>
      </c>
      <c r="R167" s="46" t="n">
        <v>0.511</v>
      </c>
      <c r="S167" s="46" t="n">
        <v>0.291</v>
      </c>
      <c r="T167" s="44" t="s">
        <v>34</v>
      </c>
      <c r="U167" s="46" t="n">
        <v>0.1355</v>
      </c>
      <c r="V167" s="77"/>
      <c r="W167" s="73"/>
      <c r="X167" s="73"/>
      <c r="Y167" s="73"/>
      <c r="Z167" s="78"/>
      <c r="AA167" s="79" t="s">
        <v>107</v>
      </c>
    </row>
    <row r="168" customFormat="false" ht="18.9" hidden="false" customHeight="true" outlineLevel="0" collapsed="false">
      <c r="A168" s="44" t="s">
        <v>32</v>
      </c>
      <c r="B168" s="45" t="n">
        <v>6400</v>
      </c>
      <c r="C168" s="45" t="n">
        <v>8000</v>
      </c>
      <c r="D168" s="44" t="s">
        <v>33</v>
      </c>
      <c r="E168" s="45" t="str">
        <f aca="false" t="array" ref="E168:E168">IF(F168&gt;100,"T1",IF(F168&gt;50,"T2",IF(F168&gt;10,"T3",IF(F168&gt;1,"T4",IF(F168=0,"TBD","T5")))))</f>
        <v>T3</v>
      </c>
      <c r="F168" s="45" t="n">
        <v>13.1</v>
      </c>
      <c r="G168" s="46" t="n">
        <v>0.572</v>
      </c>
      <c r="H168" s="46" t="n">
        <v>0.025</v>
      </c>
      <c r="I168" s="46" t="n">
        <v>0.9812</v>
      </c>
      <c r="J168" s="46" t="n">
        <f aca="false" t="array" ref="J168:J168">O168/N168</f>
        <v>0.114589556697335</v>
      </c>
      <c r="K168" s="48" t="n">
        <f aca="false" t="array" ref="K168:K168">C168/O168</f>
        <v>4.17101147028154</v>
      </c>
      <c r="L168" s="48" t="n">
        <f aca="false" t="array" ref="L168:L168">C168/P168</f>
        <v>15.625</v>
      </c>
      <c r="M168" s="49" t="n">
        <f aca="false" t="array" ref="M168:M168">C168/Q168</f>
        <v>571.428571428571</v>
      </c>
      <c r="N168" s="49" t="n">
        <v>16738</v>
      </c>
      <c r="O168" s="49" t="n">
        <v>1918</v>
      </c>
      <c r="P168" s="45" t="n">
        <v>512</v>
      </c>
      <c r="Q168" s="45" t="n">
        <v>14</v>
      </c>
      <c r="R168" s="46" t="n">
        <v>0.545</v>
      </c>
      <c r="S168" s="46" t="n">
        <v>0.007</v>
      </c>
      <c r="T168" s="44" t="s">
        <v>34</v>
      </c>
      <c r="U168" s="46" t="n">
        <v>0.6015</v>
      </c>
      <c r="V168" s="77"/>
      <c r="W168" s="73"/>
      <c r="X168" s="73"/>
      <c r="Y168" s="73"/>
      <c r="Z168" s="73"/>
      <c r="AA168" s="87" t="s">
        <v>199</v>
      </c>
    </row>
    <row r="169" customFormat="false" ht="18.9" hidden="false" customHeight="true" outlineLevel="0" collapsed="false">
      <c r="A169" s="44" t="s">
        <v>32</v>
      </c>
      <c r="B169" s="45" t="n">
        <v>10000</v>
      </c>
      <c r="C169" s="45" t="n">
        <v>25000</v>
      </c>
      <c r="D169" s="44" t="s">
        <v>33</v>
      </c>
      <c r="E169" s="45" t="str">
        <f aca="false" t="array" ref="E169:E169">IF(F169&gt;100,"T1",IF(F169&gt;50,"T2",IF(F169&gt;10,"T3",IF(F169&gt;1,"T4",IF(F169=0,"TBD","T5")))))</f>
        <v>T3</v>
      </c>
      <c r="F169" s="45" t="n">
        <v>22.8</v>
      </c>
      <c r="G169" s="46" t="n">
        <v>0.584</v>
      </c>
      <c r="H169" s="46" t="n">
        <v>0.025</v>
      </c>
      <c r="I169" s="46" t="n">
        <v>0.8972</v>
      </c>
      <c r="J169" s="46" t="n">
        <f aca="false" t="array" ref="J169:J169">O169/N169</f>
        <v>0.165904490591499</v>
      </c>
      <c r="K169" s="48" t="n">
        <f aca="false" t="array" ref="K169:K169">C169/O169</f>
        <v>11.2968820605513</v>
      </c>
      <c r="L169" s="48" t="n">
        <f aca="false" t="array" ref="L169:L169">C169/P169</f>
        <v>22.3413762287757</v>
      </c>
      <c r="M169" s="49" t="e">
        <f aca="false" t="array" ref="M169:M169">C169/Q169</f>
        <v>#VALUE!</v>
      </c>
      <c r="N169" s="49" t="n">
        <v>13339</v>
      </c>
      <c r="O169" s="49" t="n">
        <v>2213</v>
      </c>
      <c r="P169" s="49" t="n">
        <v>1119</v>
      </c>
      <c r="Q169" s="44" t="s">
        <v>38</v>
      </c>
      <c r="R169" s="46" t="n">
        <v>0.517</v>
      </c>
      <c r="S169" s="46" t="n">
        <v>0.005</v>
      </c>
      <c r="T169" s="44" t="s">
        <v>34</v>
      </c>
      <c r="U169" s="44" t="s">
        <v>34</v>
      </c>
      <c r="V169" s="77"/>
      <c r="W169" s="73"/>
      <c r="X169" s="73"/>
      <c r="Y169" s="73"/>
      <c r="Z169" s="73"/>
      <c r="AA169" s="105" t="s">
        <v>200</v>
      </c>
    </row>
    <row r="170" customFormat="false" ht="18.9" hidden="false" customHeight="true" outlineLevel="0" collapsed="false">
      <c r="A170" s="44" t="s">
        <v>32</v>
      </c>
      <c r="B170" s="45" t="n">
        <v>12000</v>
      </c>
      <c r="C170" s="45" t="n">
        <v>14000</v>
      </c>
      <c r="D170" s="44" t="s">
        <v>36</v>
      </c>
      <c r="E170" s="45" t="str">
        <f aca="false" t="array" ref="E170:E170">IF(F170&gt;100,"T1",IF(F170&gt;50,"T2",IF(F170&gt;10,"T3",IF(F170&gt;1,"T4",IF(F170=0,"TBD","T5")))))</f>
        <v>T3</v>
      </c>
      <c r="F170" s="45" t="n">
        <v>15.6</v>
      </c>
      <c r="G170" s="46" t="n">
        <v>0.543</v>
      </c>
      <c r="H170" s="46" t="n">
        <v>0.032</v>
      </c>
      <c r="I170" s="46" t="n">
        <v>0.9616</v>
      </c>
      <c r="J170" s="46" t="n">
        <f aca="false" t="array" ref="J170:J170">O170/N170</f>
        <v>0.140621938955425</v>
      </c>
      <c r="K170" s="48" t="n">
        <f aca="false" t="array" ref="K170:K170">C170/O170</f>
        <v>1.30026934150646</v>
      </c>
      <c r="L170" s="48" t="n">
        <f aca="false" t="array" ref="L170:L170">C170/P170</f>
        <v>12.4113475177305</v>
      </c>
      <c r="M170" s="49" t="e">
        <f aca="false" t="array" ref="M170:M170">C170/Q170</f>
        <v>#VALUE!</v>
      </c>
      <c r="N170" s="49" t="n">
        <v>76567</v>
      </c>
      <c r="O170" s="49" t="n">
        <v>10767</v>
      </c>
      <c r="P170" s="45" t="n">
        <v>1128</v>
      </c>
      <c r="Q170" s="44" t="s">
        <v>38</v>
      </c>
      <c r="R170" s="46" t="n">
        <v>0.488</v>
      </c>
      <c r="S170" s="46" t="n">
        <v>0.008</v>
      </c>
      <c r="T170" s="44" t="s">
        <v>34</v>
      </c>
      <c r="U170" s="46" t="n">
        <v>0.1818</v>
      </c>
      <c r="V170" s="77"/>
      <c r="W170" s="73"/>
      <c r="X170" s="73"/>
      <c r="Y170" s="73"/>
      <c r="Z170" s="73"/>
      <c r="AA170" s="115" t="s">
        <v>159</v>
      </c>
    </row>
    <row r="171" customFormat="false" ht="18.9" hidden="false" customHeight="true" outlineLevel="0" collapsed="false">
      <c r="A171" s="44" t="s">
        <v>32</v>
      </c>
      <c r="B171" s="45" t="n">
        <v>16000</v>
      </c>
      <c r="C171" s="45" t="n">
        <v>18000</v>
      </c>
      <c r="D171" s="44" t="s">
        <v>33</v>
      </c>
      <c r="E171" s="45" t="str">
        <f aca="false" t="array" ref="E171:E171">IF(F171&gt;100,"T1",IF(F171&gt;50,"T2",IF(F171&gt;10,"T3",IF(F171&gt;1,"T4",IF(F171=0,"TBD","T5")))))</f>
        <v>T3</v>
      </c>
      <c r="F171" s="45" t="n">
        <v>18.6</v>
      </c>
      <c r="G171" s="46" t="n">
        <v>0.272</v>
      </c>
      <c r="H171" s="46" t="n">
        <v>0.139</v>
      </c>
      <c r="I171" s="46" t="n">
        <v>0.9616</v>
      </c>
      <c r="J171" s="46" t="n">
        <f aca="false" t="array" ref="J171:J171">O171/N171</f>
        <v>0.124421219738061</v>
      </c>
      <c r="K171" s="48" t="n">
        <f aca="false" t="array" ref="K171:K171">C171/O171</f>
        <v>2.39234449760766</v>
      </c>
      <c r="L171" s="48" t="n">
        <f aca="false" t="array" ref="L171:L171">C171/P171</f>
        <v>8.41121495327103</v>
      </c>
      <c r="M171" s="49" t="n">
        <f aca="false" t="array" ref="M171:M171">C171/Q171</f>
        <v>33.3951762523191</v>
      </c>
      <c r="N171" s="49" t="n">
        <v>60472</v>
      </c>
      <c r="O171" s="49" t="n">
        <v>7524</v>
      </c>
      <c r="P171" s="45" t="n">
        <v>2140</v>
      </c>
      <c r="Q171" s="45" t="n">
        <v>539</v>
      </c>
      <c r="R171" s="46" t="n">
        <v>0.645</v>
      </c>
      <c r="S171" s="46" t="n">
        <v>0.08</v>
      </c>
      <c r="T171" s="44" t="s">
        <v>34</v>
      </c>
      <c r="U171" s="46" t="n">
        <v>0.5535</v>
      </c>
      <c r="V171" s="77"/>
      <c r="W171" s="73"/>
      <c r="X171" s="73"/>
      <c r="Y171" s="73"/>
      <c r="Z171" s="78"/>
      <c r="AA171" s="79" t="s">
        <v>107</v>
      </c>
    </row>
    <row r="172" customFormat="false" ht="18.9" hidden="false" customHeight="true" outlineLevel="0" collapsed="false">
      <c r="A172" s="44" t="s">
        <v>32</v>
      </c>
      <c r="B172" s="45" t="n">
        <v>6400</v>
      </c>
      <c r="C172" s="45" t="n">
        <v>8000</v>
      </c>
      <c r="D172" s="44" t="s">
        <v>36</v>
      </c>
      <c r="E172" s="45" t="str">
        <f aca="false" t="array" ref="E172:E172">IF(F172&gt;100,"T1",IF(F172&gt;50,"T2",IF(F172&gt;10,"T3",IF(F172&gt;1,"T4",IF(F172=0,"TBD","T5")))))</f>
        <v>T4</v>
      </c>
      <c r="F172" s="45" t="n">
        <v>1.5</v>
      </c>
      <c r="G172" s="46" t="n">
        <v>0.474</v>
      </c>
      <c r="H172" s="46" t="n">
        <v>0.021</v>
      </c>
      <c r="I172" s="46" t="n">
        <v>0.9802</v>
      </c>
      <c r="J172" s="46" t="n">
        <f aca="false" t="array" ref="J172:J172">O172/N172</f>
        <v>0.147537227949599</v>
      </c>
      <c r="K172" s="48" t="n">
        <f aca="false" t="array" ref="K172:K172">C172/O172</f>
        <v>12.4223602484472</v>
      </c>
      <c r="L172" s="48" t="n">
        <f aca="false" t="array" ref="L172:L172">C172/P172</f>
        <v>16.4609053497942</v>
      </c>
      <c r="M172" s="49" t="e">
        <f aca="false" t="array" ref="M172:M172">C172/Q172</f>
        <v>#VALUE!</v>
      </c>
      <c r="N172" s="49" t="n">
        <v>4365</v>
      </c>
      <c r="O172" s="49" t="n">
        <v>644</v>
      </c>
      <c r="P172" s="45" t="n">
        <v>486</v>
      </c>
      <c r="Q172" s="44" t="s">
        <v>38</v>
      </c>
      <c r="R172" s="46" t="n">
        <v>0.495</v>
      </c>
      <c r="S172" s="46" t="n">
        <v>0.047</v>
      </c>
      <c r="T172" s="44" t="s">
        <v>34</v>
      </c>
      <c r="U172" s="46" t="n">
        <v>0.0443</v>
      </c>
      <c r="V172" s="77"/>
      <c r="W172" s="73"/>
      <c r="X172" s="73"/>
      <c r="Y172" s="73"/>
      <c r="Z172" s="73"/>
      <c r="AA172" s="116" t="s">
        <v>201</v>
      </c>
    </row>
    <row r="173" customFormat="false" ht="18.9" hidden="false" customHeight="true" outlineLevel="0" collapsed="false">
      <c r="A173" s="44" t="s">
        <v>32</v>
      </c>
      <c r="B173" s="45" t="n">
        <v>6000</v>
      </c>
      <c r="C173" s="45" t="n">
        <v>8000</v>
      </c>
      <c r="D173" s="44" t="s">
        <v>36</v>
      </c>
      <c r="E173" s="45" t="str">
        <f aca="false" t="array" ref="E173:E173">IF(F173&gt;100,"T1",IF(F173&gt;50,"T2",IF(F173&gt;10,"T3",IF(F173&gt;1,"T4",IF(F173=0,"TBD","T5")))))</f>
        <v>T3</v>
      </c>
      <c r="F173" s="45" t="n">
        <v>11.3</v>
      </c>
      <c r="G173" s="46" t="n">
        <v>0.496</v>
      </c>
      <c r="H173" s="46" t="n">
        <v>0.03</v>
      </c>
      <c r="I173" s="46" t="n">
        <v>0.9581</v>
      </c>
      <c r="J173" s="46" t="n">
        <f aca="false" t="array" ref="J173:J173">O173/N173</f>
        <v>0.147185647185647</v>
      </c>
      <c r="K173" s="48" t="n">
        <f aca="false" t="array" ref="K173:K173">C173/O173</f>
        <v>2.09259743656814</v>
      </c>
      <c r="L173" s="48" t="n">
        <f aca="false" t="array" ref="L173:L173">C173/P173</f>
        <v>23.6686390532544</v>
      </c>
      <c r="M173" s="49" t="n">
        <f aca="false" t="array" ref="M173:M173">C173/Q173</f>
        <v>117.647058823529</v>
      </c>
      <c r="N173" s="49" t="n">
        <v>25974</v>
      </c>
      <c r="O173" s="49" t="n">
        <v>3823</v>
      </c>
      <c r="P173" s="45" t="n">
        <v>338</v>
      </c>
      <c r="Q173" s="45" t="n">
        <v>68</v>
      </c>
      <c r="R173" s="46" t="n">
        <v>0.331</v>
      </c>
      <c r="S173" s="46" t="n">
        <v>0.02</v>
      </c>
      <c r="T173" s="44" t="s">
        <v>34</v>
      </c>
      <c r="U173" s="44" t="s">
        <v>34</v>
      </c>
      <c r="V173" s="77"/>
      <c r="W173" s="73"/>
      <c r="X173" s="73"/>
      <c r="Y173" s="73"/>
      <c r="Z173" s="73"/>
      <c r="AA173" s="105" t="s">
        <v>202</v>
      </c>
    </row>
    <row r="174" customFormat="false" ht="18.9" hidden="false" customHeight="true" outlineLevel="0" collapsed="false">
      <c r="A174" s="52" t="s">
        <v>32</v>
      </c>
      <c r="B174" s="53" t="n">
        <v>14400</v>
      </c>
      <c r="C174" s="53" t="n">
        <v>18000</v>
      </c>
      <c r="D174" s="52" t="s">
        <v>33</v>
      </c>
      <c r="E174" s="53" t="str">
        <f aca="false" t="array" ref="E174:E174">IF(F174&gt;100,"T1",IF(F174&gt;50,"T2",IF(F174&gt;10,"T3",IF(F174&gt;1,"T4",IF(F174=0,"TBD","T5")))))</f>
        <v>T3</v>
      </c>
      <c r="F174" s="53" t="n">
        <v>10.3</v>
      </c>
      <c r="G174" s="54" t="n">
        <v>0.619</v>
      </c>
      <c r="H174" s="54" t="n">
        <v>0.028</v>
      </c>
      <c r="I174" s="54" t="n">
        <v>0.9469</v>
      </c>
      <c r="J174" s="54" t="n">
        <f aca="false" t="array" ref="J174:J174">O174/N174</f>
        <v>0.169053042629352</v>
      </c>
      <c r="K174" s="56" t="n">
        <f aca="false" t="array" ref="K174:K174">C174/O174</f>
        <v>17.3243503368624</v>
      </c>
      <c r="L174" s="56" t="n">
        <f aca="false" t="array" ref="L174:L174">C174/P174</f>
        <v>11.8110236220472</v>
      </c>
      <c r="M174" s="57" t="n">
        <f aca="false" t="array" ref="M174:M174">C174/Q174</f>
        <v>620.689655172414</v>
      </c>
      <c r="N174" s="57" t="n">
        <v>6146</v>
      </c>
      <c r="O174" s="57" t="n">
        <v>1039</v>
      </c>
      <c r="P174" s="53" t="n">
        <v>1524</v>
      </c>
      <c r="Q174" s="53" t="n">
        <v>29</v>
      </c>
      <c r="R174" s="54" t="n">
        <v>0.816</v>
      </c>
      <c r="S174" s="54" t="n">
        <v>0.044</v>
      </c>
      <c r="T174" s="52" t="s">
        <v>34</v>
      </c>
      <c r="U174" s="54" t="n">
        <v>0.0909</v>
      </c>
      <c r="V174" s="107"/>
      <c r="W174" s="92"/>
      <c r="X174" s="92"/>
      <c r="Y174" s="92"/>
      <c r="Z174" s="92"/>
      <c r="AA174" s="115" t="s">
        <v>203</v>
      </c>
    </row>
    <row r="175" customFormat="false" ht="18" hidden="false" customHeight="true" outlineLevel="0" collapsed="false">
      <c r="A175" s="65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4"/>
      <c r="W175" s="33"/>
      <c r="X175" s="33"/>
      <c r="Y175" s="33"/>
      <c r="Z175" s="33"/>
      <c r="AA175" s="34"/>
    </row>
    <row r="176" customFormat="false" ht="18.9" hidden="false" customHeight="true" outlineLevel="0" collapsed="false">
      <c r="A176" s="35" t="s">
        <v>32</v>
      </c>
      <c r="B176" s="36" t="n">
        <v>17600</v>
      </c>
      <c r="C176" s="36" t="n">
        <v>22000</v>
      </c>
      <c r="D176" s="35" t="s">
        <v>36</v>
      </c>
      <c r="E176" s="36" t="str">
        <f aca="false" t="array" ref="E176:E176">IF(F176&gt;100,"T1",IF(F176&gt;50,"T2",IF(F176&gt;10,"T3",IF(F176&gt;1,"T4",IF(F176=0,"TBD","T5")))))</f>
        <v>T3</v>
      </c>
      <c r="F176" s="36" t="n">
        <v>23</v>
      </c>
      <c r="G176" s="37" t="n">
        <v>0.287</v>
      </c>
      <c r="H176" s="37" t="n">
        <v>0.068</v>
      </c>
      <c r="I176" s="37" t="n">
        <v>0.9042</v>
      </c>
      <c r="J176" s="37" t="n">
        <f aca="false" t="array" ref="J176:J176">O176/N176</f>
        <v>0.215831921009481</v>
      </c>
      <c r="K176" s="39" t="n">
        <f aca="false" t="array" ref="K176:K176">C176/O176</f>
        <v>0.40081620754992</v>
      </c>
      <c r="L176" s="39" t="n">
        <f aca="false" t="array" ref="L176:L176">C176/P176</f>
        <v>2.39599215857112</v>
      </c>
      <c r="M176" s="40" t="e">
        <f aca="false" t="array" ref="M176:M176">C176/Q176</f>
        <v>#VALUE!</v>
      </c>
      <c r="N176" s="40" t="n">
        <v>254309</v>
      </c>
      <c r="O176" s="40" t="n">
        <v>54888</v>
      </c>
      <c r="P176" s="36" t="n">
        <v>9182</v>
      </c>
      <c r="Q176" s="35" t="s">
        <v>38</v>
      </c>
      <c r="R176" s="37" t="n">
        <v>0.877</v>
      </c>
      <c r="S176" s="37" t="n">
        <v>0.001</v>
      </c>
      <c r="T176" s="35" t="s">
        <v>34</v>
      </c>
      <c r="U176" s="37" t="n">
        <v>0.2909</v>
      </c>
      <c r="V176" s="87" t="s">
        <v>161</v>
      </c>
      <c r="W176" s="82" t="s">
        <v>67</v>
      </c>
      <c r="X176" s="82" t="s">
        <v>123</v>
      </c>
      <c r="Y176" s="82" t="s">
        <v>169</v>
      </c>
      <c r="Z176" s="103"/>
      <c r="AA176" s="79" t="s">
        <v>204</v>
      </c>
    </row>
    <row r="177" customFormat="false" ht="18.9" hidden="false" customHeight="true" outlineLevel="0" collapsed="false">
      <c r="A177" s="44" t="s">
        <v>32</v>
      </c>
      <c r="B177" s="45" t="n">
        <v>5400</v>
      </c>
      <c r="C177" s="45" t="n">
        <v>7400</v>
      </c>
      <c r="D177" s="44" t="s">
        <v>33</v>
      </c>
      <c r="E177" s="45" t="str">
        <f aca="false" t="array" ref="E177:E177">IF(F177&gt;100,"T1",IF(F177&gt;50,"T2",IF(F177&gt;10,"T3",IF(F177&gt;1,"T4",IF(F177=0,"TBD","T5")))))</f>
        <v>T4</v>
      </c>
      <c r="F177" s="45" t="n">
        <v>7.2</v>
      </c>
      <c r="G177" s="46" t="n">
        <v>0.457</v>
      </c>
      <c r="H177" s="46" t="n">
        <v>0.035</v>
      </c>
      <c r="I177" s="46" t="n">
        <v>0.8197</v>
      </c>
      <c r="J177" s="46" t="n">
        <f aca="false" t="array" ref="J177:J177">O177/N177</f>
        <v>0.10665750417953</v>
      </c>
      <c r="K177" s="48" t="n">
        <f aca="false" t="array" ref="K177:K177">B177/O177</f>
        <v>0.519280700067314</v>
      </c>
      <c r="L177" s="48" t="n">
        <f aca="false" t="array" ref="L177:L177">B177/P177</f>
        <v>11.1801242236025</v>
      </c>
      <c r="M177" s="49" t="n">
        <f aca="false" t="array" ref="M177:M177">B177/Q177</f>
        <v>3.77622377622378</v>
      </c>
      <c r="N177" s="49" t="n">
        <v>97499</v>
      </c>
      <c r="O177" s="49" t="n">
        <v>10399</v>
      </c>
      <c r="P177" s="45" t="n">
        <v>483</v>
      </c>
      <c r="Q177" s="45" t="n">
        <v>1430</v>
      </c>
      <c r="R177" s="46" t="n">
        <v>0.859</v>
      </c>
      <c r="S177" s="46" t="n">
        <v>0.069</v>
      </c>
      <c r="T177" s="46" t="n">
        <v>0.3508</v>
      </c>
      <c r="U177" s="44" t="s">
        <v>34</v>
      </c>
      <c r="V177" s="90" t="s">
        <v>148</v>
      </c>
      <c r="W177" s="44" t="s">
        <v>40</v>
      </c>
      <c r="X177" s="44" t="s">
        <v>205</v>
      </c>
      <c r="Y177" s="72" t="s">
        <v>206</v>
      </c>
      <c r="Z177" s="78"/>
      <c r="AA177" s="79" t="s">
        <v>207</v>
      </c>
    </row>
    <row r="178" customFormat="false" ht="18.9" hidden="false" customHeight="true" outlineLevel="0" collapsed="false">
      <c r="A178" s="44" t="s">
        <v>32</v>
      </c>
      <c r="B178" s="45" t="n">
        <v>8000</v>
      </c>
      <c r="C178" s="45" t="n">
        <v>10000</v>
      </c>
      <c r="D178" s="44" t="s">
        <v>33</v>
      </c>
      <c r="E178" s="45" t="str">
        <f aca="false" t="array" ref="E178:E178">IF(F178&gt;100,"T1",IF(F178&gt;50,"T2",IF(F178&gt;10,"T3",IF(F178&gt;1,"T4",IF(F178=0,"TBD","T5")))))</f>
        <v>T4</v>
      </c>
      <c r="F178" s="45" t="n">
        <v>9.6</v>
      </c>
      <c r="G178" s="46" t="n">
        <v>0.712</v>
      </c>
      <c r="H178" s="46" t="n">
        <v>0.029</v>
      </c>
      <c r="I178" s="46" t="n">
        <v>0.9181</v>
      </c>
      <c r="J178" s="46" t="n">
        <f aca="false" t="array" ref="J178:J178">O178/N178</f>
        <v>0.103432173710016</v>
      </c>
      <c r="K178" s="48" t="n">
        <f aca="false" t="array" ref="K178:K178">C178/O178</f>
        <v>0.594035879767138</v>
      </c>
      <c r="L178" s="48" t="n">
        <f aca="false" t="array" ref="L178:L178">C178/P178</f>
        <v>2.70562770562771</v>
      </c>
      <c r="M178" s="49" t="e">
        <f aca="false" t="array" ref="M178:M178">C178/Q178</f>
        <v>#VALUE!</v>
      </c>
      <c r="N178" s="49" t="n">
        <v>162754</v>
      </c>
      <c r="O178" s="49" t="n">
        <v>16834</v>
      </c>
      <c r="P178" s="45" t="n">
        <v>3696</v>
      </c>
      <c r="Q178" s="44" t="s">
        <v>38</v>
      </c>
      <c r="R178" s="46" t="n">
        <v>0.888</v>
      </c>
      <c r="S178" s="46" t="n">
        <v>0.039</v>
      </c>
      <c r="T178" s="44" t="s">
        <v>34</v>
      </c>
      <c r="U178" s="44" t="s">
        <v>34</v>
      </c>
      <c r="V178" s="77"/>
      <c r="W178" s="73"/>
      <c r="X178" s="73"/>
      <c r="Y178" s="73"/>
      <c r="Z178" s="78"/>
      <c r="AA178" s="79" t="s">
        <v>146</v>
      </c>
    </row>
    <row r="179" customFormat="false" ht="18.9" hidden="false" customHeight="true" outlineLevel="0" collapsed="false">
      <c r="A179" s="44" t="s">
        <v>32</v>
      </c>
      <c r="B179" s="45" t="n">
        <v>3600</v>
      </c>
      <c r="C179" s="44" t="s">
        <v>38</v>
      </c>
      <c r="D179" s="44" t="s">
        <v>33</v>
      </c>
      <c r="E179" s="45" t="str">
        <f aca="false" t="array" ref="E179:E179">IF(F179&gt;100,"T1",IF(F179&gt;50,"T2",IF(F179&gt;10,"T3",IF(F179&gt;1,"T4",IF(F179=0,"TBD","T5")))))</f>
        <v>T3</v>
      </c>
      <c r="F179" s="45" t="n">
        <v>13.3</v>
      </c>
      <c r="G179" s="46" t="n">
        <v>0.211</v>
      </c>
      <c r="H179" s="46" t="n">
        <v>0.057</v>
      </c>
      <c r="I179" s="46" t="n">
        <v>0.8139</v>
      </c>
      <c r="J179" s="46" t="n">
        <f aca="false" t="array" ref="J179:J179">O179/N179</f>
        <v>0.121215272241594</v>
      </c>
      <c r="K179" s="48" t="n">
        <f aca="false" t="array" ref="K179:K179">B179/O179</f>
        <v>0.0686276378748308</v>
      </c>
      <c r="L179" s="48" t="n">
        <f aca="false" t="array" ref="L179:L179">B179/P179</f>
        <v>8.18181818181818</v>
      </c>
      <c r="M179" s="49" t="n">
        <f aca="false" t="array" ref="M179:M179">B179/Q179</f>
        <v>2.24159402241594</v>
      </c>
      <c r="N179" s="45" t="n">
        <v>432759</v>
      </c>
      <c r="O179" s="45" t="n">
        <v>52457</v>
      </c>
      <c r="P179" s="45" t="n">
        <v>440</v>
      </c>
      <c r="Q179" s="45" t="n">
        <v>1606</v>
      </c>
      <c r="R179" s="46" t="n">
        <v>0.81</v>
      </c>
      <c r="S179" s="46" t="n">
        <v>0.149</v>
      </c>
      <c r="T179" s="46" t="n">
        <v>0.3553</v>
      </c>
      <c r="U179" s="44" t="s">
        <v>34</v>
      </c>
      <c r="V179" s="90" t="s">
        <v>161</v>
      </c>
      <c r="W179" s="72" t="s">
        <v>67</v>
      </c>
      <c r="X179" s="72" t="s">
        <v>123</v>
      </c>
      <c r="Y179" s="72" t="s">
        <v>169</v>
      </c>
      <c r="Z179" s="78"/>
      <c r="AA179" s="79" t="s">
        <v>208</v>
      </c>
    </row>
    <row r="180" customFormat="false" ht="18.9" hidden="false" customHeight="true" outlineLevel="0" collapsed="false">
      <c r="A180" s="44" t="s">
        <v>32</v>
      </c>
      <c r="B180" s="45" t="n">
        <v>3000</v>
      </c>
      <c r="C180" s="45" t="n">
        <v>5000</v>
      </c>
      <c r="D180" s="44" t="s">
        <v>33</v>
      </c>
      <c r="E180" s="45" t="str">
        <f aca="false" t="array" ref="E180:E180">IF(F180&gt;100,"T1",IF(F180&gt;50,"T2",IF(F180&gt;10,"T3",IF(F180&gt;1,"T4",IF(F180=0,"TBD","T5")))))</f>
        <v>T4</v>
      </c>
      <c r="F180" s="45" t="n">
        <v>4.1</v>
      </c>
      <c r="G180" s="46" t="n">
        <v>0.342</v>
      </c>
      <c r="H180" s="46" t="n">
        <v>0.024</v>
      </c>
      <c r="I180" s="46" t="n">
        <v>0.9787</v>
      </c>
      <c r="J180" s="46" t="n">
        <f aca="false" t="array" ref="J180:J180">O180/N180</f>
        <v>0.122165713074804</v>
      </c>
      <c r="K180" s="48" t="n">
        <f aca="false" t="array" ref="K180:K180">C180/O180</f>
        <v>4.33651344319167</v>
      </c>
      <c r="L180" s="48" t="n">
        <f aca="false" t="array" ref="L180:L180">C180/P180</f>
        <v>25</v>
      </c>
      <c r="M180" s="49" t="n">
        <f aca="false" t="array" ref="M180:M180">C180/Q180</f>
        <v>125</v>
      </c>
      <c r="N180" s="49" t="n">
        <v>9438</v>
      </c>
      <c r="O180" s="49" t="n">
        <v>1153</v>
      </c>
      <c r="P180" s="45" t="n">
        <v>200</v>
      </c>
      <c r="Q180" s="45" t="n">
        <v>40</v>
      </c>
      <c r="R180" s="46" t="n">
        <v>0.556</v>
      </c>
      <c r="S180" s="46" t="n">
        <v>0.04</v>
      </c>
      <c r="T180" s="44" t="s">
        <v>34</v>
      </c>
      <c r="U180" s="46" t="n">
        <v>0.0712</v>
      </c>
      <c r="V180" s="77"/>
      <c r="W180" s="73"/>
      <c r="X180" s="73"/>
      <c r="Y180" s="73"/>
      <c r="Z180" s="78"/>
      <c r="AA180" s="79" t="s">
        <v>209</v>
      </c>
    </row>
    <row r="181" customFormat="false" ht="18.9" hidden="false" customHeight="true" outlineLevel="0" collapsed="false">
      <c r="A181" s="44" t="s">
        <v>32</v>
      </c>
      <c r="B181" s="45" t="n">
        <v>30000</v>
      </c>
      <c r="C181" s="45" t="n">
        <v>45000</v>
      </c>
      <c r="D181" s="44" t="s">
        <v>33</v>
      </c>
      <c r="E181" s="45" t="str">
        <f aca="false" t="array" ref="E181:E181">IF(F181&gt;100,"T1",IF(F181&gt;50,"T2",IF(F181&gt;10,"T3",IF(F181&gt;1,"T4",IF(F181=0,"TBD","T5")))))</f>
        <v>T3</v>
      </c>
      <c r="F181" s="45" t="n">
        <v>20.9</v>
      </c>
      <c r="G181" s="46" t="n">
        <v>0.26</v>
      </c>
      <c r="H181" s="46" t="n">
        <v>0.036</v>
      </c>
      <c r="I181" s="46" t="n">
        <v>0.8736</v>
      </c>
      <c r="J181" s="46" t="n">
        <f aca="false" t="array" ref="J181:J181">O181/N181</f>
        <v>0.178897857744367</v>
      </c>
      <c r="K181" s="48" t="n">
        <f aca="false" t="array" ref="K181:K181">C181/O181</f>
        <v>2.58323765786452</v>
      </c>
      <c r="L181" s="48" t="n">
        <f aca="false" t="array" ref="L181:L181">C181/P181</f>
        <v>69.1244239631336</v>
      </c>
      <c r="M181" s="49" t="n">
        <f aca="false" t="array" ref="M181:M181">C181/Q181</f>
        <v>40.0355871886121</v>
      </c>
      <c r="N181" s="49" t="n">
        <v>97374</v>
      </c>
      <c r="O181" s="49" t="n">
        <v>17420</v>
      </c>
      <c r="P181" s="45" t="n">
        <v>651</v>
      </c>
      <c r="Q181" s="45" t="n">
        <v>1124</v>
      </c>
      <c r="R181" s="46" t="n">
        <v>0.735</v>
      </c>
      <c r="S181" s="46" t="n">
        <v>0.037</v>
      </c>
      <c r="T181" s="44" t="s">
        <v>34</v>
      </c>
      <c r="U181" s="46" t="n">
        <v>0.2932</v>
      </c>
      <c r="V181" s="90" t="s">
        <v>161</v>
      </c>
      <c r="W181" s="72" t="s">
        <v>67</v>
      </c>
      <c r="X181" s="72" t="s">
        <v>180</v>
      </c>
      <c r="Y181" s="72" t="s">
        <v>210</v>
      </c>
      <c r="Z181" s="78"/>
      <c r="AA181" s="117" t="s">
        <v>211</v>
      </c>
    </row>
    <row r="182" customFormat="false" ht="18.9" hidden="false" customHeight="true" outlineLevel="0" collapsed="false">
      <c r="A182" s="44" t="s">
        <v>32</v>
      </c>
      <c r="B182" s="45" t="n">
        <v>36000</v>
      </c>
      <c r="C182" s="45" t="n">
        <v>38000</v>
      </c>
      <c r="D182" s="44" t="s">
        <v>33</v>
      </c>
      <c r="E182" s="45" t="str">
        <f aca="false" t="array" ref="E182:E182">IF(F182&gt;100,"T1",IF(F182&gt;50,"T2",IF(F182&gt;10,"T3",IF(F182&gt;1,"T4",IF(F182=0,"TBD","T5")))))</f>
        <v>T2</v>
      </c>
      <c r="F182" s="45" t="n">
        <v>54.2</v>
      </c>
      <c r="G182" s="46" t="n">
        <v>0.488</v>
      </c>
      <c r="H182" s="46" t="n">
        <v>0.031</v>
      </c>
      <c r="I182" s="46" t="n">
        <v>0.9668</v>
      </c>
      <c r="J182" s="46" t="n">
        <f aca="false" t="array" ref="J182:J182">O182/N182</f>
        <v>0.126942919505258</v>
      </c>
      <c r="K182" s="48" t="n">
        <f aca="false" t="array" ref="K182:K182">C182/O182</f>
        <v>4.94985020190179</v>
      </c>
      <c r="L182" s="48" t="n">
        <f aca="false" t="array" ref="L182:L182">C182/P182</f>
        <v>17.5681923254739</v>
      </c>
      <c r="M182" s="49" t="e">
        <f aca="false" t="array" ref="M182:M182">C182/Q182</f>
        <v>#VALUE!</v>
      </c>
      <c r="N182" s="49" t="n">
        <v>60476</v>
      </c>
      <c r="O182" s="49" t="n">
        <v>7677</v>
      </c>
      <c r="P182" s="45" t="n">
        <v>2163</v>
      </c>
      <c r="Q182" s="44" t="s">
        <v>38</v>
      </c>
      <c r="R182" s="46" t="n">
        <v>0.539</v>
      </c>
      <c r="S182" s="46" t="n">
        <v>0.007</v>
      </c>
      <c r="T182" s="44" t="s">
        <v>34</v>
      </c>
      <c r="U182" s="44" t="s">
        <v>34</v>
      </c>
      <c r="V182" s="77"/>
      <c r="W182" s="73"/>
      <c r="X182" s="73"/>
      <c r="Y182" s="73"/>
      <c r="Z182" s="73"/>
      <c r="AA182" s="105" t="s">
        <v>107</v>
      </c>
    </row>
    <row r="183" customFormat="false" ht="18.9" hidden="false" customHeight="true" outlineLevel="0" collapsed="false">
      <c r="A183" s="44" t="s">
        <v>32</v>
      </c>
      <c r="B183" s="44" t="s">
        <v>38</v>
      </c>
      <c r="C183" s="45" t="n">
        <v>8000</v>
      </c>
      <c r="D183" s="44" t="s">
        <v>61</v>
      </c>
      <c r="E183" s="45" t="str">
        <f aca="false" t="array" ref="E183:E183">IF(F183&gt;100,"T1",IF(F183&gt;50,"T2",IF(F183&gt;10,"T3",IF(F183&gt;1,"T4",IF(F183=0,"TBD","T5")))))</f>
        <v>T3</v>
      </c>
      <c r="F183" s="45" t="n">
        <v>12</v>
      </c>
      <c r="G183" s="46" t="n">
        <v>0.319</v>
      </c>
      <c r="H183" s="46" t="n">
        <v>0.082</v>
      </c>
      <c r="I183" s="46" t="n">
        <v>0.9028</v>
      </c>
      <c r="J183" s="46" t="n">
        <f aca="false" t="array" ref="J183:J183">O183/N183</f>
        <v>0.284604828305776</v>
      </c>
      <c r="K183" s="48" t="n">
        <f aca="false" t="array" ref="K183:K183">C183/O183</f>
        <v>0.144474744008813</v>
      </c>
      <c r="L183" s="48" t="n">
        <f aca="false" t="array" ref="L183:L183">C183/P183</f>
        <v>0.662087229992552</v>
      </c>
      <c r="M183" s="49" t="e">
        <f aca="false" t="array" ref="M183:M183">C183/Q183</f>
        <v>#VALUE!</v>
      </c>
      <c r="N183" s="49" t="n">
        <v>194561</v>
      </c>
      <c r="O183" s="49" t="n">
        <v>55373</v>
      </c>
      <c r="P183" s="45" t="n">
        <v>12083</v>
      </c>
      <c r="Q183" s="44" t="s">
        <v>38</v>
      </c>
      <c r="R183" s="46" t="n">
        <v>0.873</v>
      </c>
      <c r="S183" s="46" t="n">
        <v>0.001</v>
      </c>
      <c r="T183" s="44" t="s">
        <v>34</v>
      </c>
      <c r="U183" s="46" t="n">
        <v>0.2946</v>
      </c>
      <c r="V183" s="90" t="s">
        <v>161</v>
      </c>
      <c r="W183" s="72" t="s">
        <v>67</v>
      </c>
      <c r="X183" s="72" t="s">
        <v>123</v>
      </c>
      <c r="Y183" s="72" t="s">
        <v>169</v>
      </c>
      <c r="Z183" s="78"/>
      <c r="AA183" s="118" t="s">
        <v>212</v>
      </c>
    </row>
    <row r="184" customFormat="false" ht="18.9" hidden="false" customHeight="true" outlineLevel="0" collapsed="false">
      <c r="A184" s="44" t="s">
        <v>32</v>
      </c>
      <c r="B184" s="45" t="n">
        <v>24800</v>
      </c>
      <c r="C184" s="45" t="n">
        <v>30800</v>
      </c>
      <c r="D184" s="44" t="s">
        <v>33</v>
      </c>
      <c r="E184" s="45" t="str">
        <f aca="false" t="array" ref="E184:E184">IF(F184&gt;100,"T1",IF(F184&gt;50,"T2",IF(F184&gt;10,"T3",IF(F184&gt;1,"T4",IF(F184=0,"TBD","T5")))))</f>
        <v>T3</v>
      </c>
      <c r="F184" s="45" t="n">
        <v>16.1</v>
      </c>
      <c r="G184" s="46" t="n">
        <v>0.233</v>
      </c>
      <c r="H184" s="46" t="n">
        <v>0.028</v>
      </c>
      <c r="I184" s="46" t="n">
        <v>0.9723</v>
      </c>
      <c r="J184" s="46" t="n">
        <f aca="false" t="array" ref="J184:J184">O184/N184</f>
        <v>0.131295596894133</v>
      </c>
      <c r="K184" s="48" t="n">
        <f aca="false" t="array" ref="K184:K184">C184/O184</f>
        <v>2.75147400393068</v>
      </c>
      <c r="L184" s="48" t="n">
        <f aca="false" t="array" ref="L184:L184">C184/P184</f>
        <v>41.231593038822</v>
      </c>
      <c r="M184" s="49" t="n">
        <f aca="false" t="array" ref="M184:M184">C184/Q184</f>
        <v>23.4042553191489</v>
      </c>
      <c r="N184" s="49" t="n">
        <v>85258</v>
      </c>
      <c r="O184" s="49" t="n">
        <v>11194</v>
      </c>
      <c r="P184" s="45" t="n">
        <v>747</v>
      </c>
      <c r="Q184" s="45" t="n">
        <v>1316</v>
      </c>
      <c r="R184" s="46" t="n">
        <v>0.444</v>
      </c>
      <c r="S184" s="46" t="n">
        <v>0.019</v>
      </c>
      <c r="T184" s="44" t="s">
        <v>34</v>
      </c>
      <c r="U184" s="46" t="n">
        <v>0.4493</v>
      </c>
      <c r="V184" s="90" t="s">
        <v>161</v>
      </c>
      <c r="W184" s="72" t="s">
        <v>67</v>
      </c>
      <c r="X184" s="72" t="s">
        <v>123</v>
      </c>
      <c r="Y184" s="72" t="s">
        <v>169</v>
      </c>
      <c r="Z184" s="78"/>
      <c r="AA184" s="79" t="s">
        <v>213</v>
      </c>
    </row>
    <row r="185" customFormat="false" ht="18.9" hidden="false" customHeight="true" outlineLevel="0" collapsed="false">
      <c r="A185" s="52" t="s">
        <v>32</v>
      </c>
      <c r="B185" s="53" t="n">
        <v>30000</v>
      </c>
      <c r="C185" s="53" t="n">
        <v>30000</v>
      </c>
      <c r="D185" s="52" t="s">
        <v>36</v>
      </c>
      <c r="E185" s="53" t="str">
        <f aca="false" t="array" ref="E185:E185">IF(F185&gt;100,"T1",IF(F185&gt;50,"T2",IF(F185&gt;10,"T3",IF(F185&gt;1,"T4",IF(F185=0,"TBD","T5")))))</f>
        <v>T4</v>
      </c>
      <c r="F185" s="53" t="n">
        <v>8.4</v>
      </c>
      <c r="G185" s="54" t="n">
        <v>0.323</v>
      </c>
      <c r="H185" s="54" t="n">
        <v>0.067</v>
      </c>
      <c r="I185" s="54" t="n">
        <v>0.7886</v>
      </c>
      <c r="J185" s="54" t="n">
        <f aca="false" t="array" ref="J185:J185">O185/N185</f>
        <v>0.197073744248583</v>
      </c>
      <c r="K185" s="56" t="n">
        <f aca="false" t="array" ref="K185:K185">C185/O185</f>
        <v>0.309645455952934</v>
      </c>
      <c r="L185" s="56" t="n">
        <f aca="false" t="array" ref="L185:L185">C185/P185</f>
        <v>10.3092783505155</v>
      </c>
      <c r="M185" s="57" t="n">
        <f aca="false" t="array" ref="M185:M185">C185/Q185</f>
        <v>33.5570469798658</v>
      </c>
      <c r="N185" s="57" t="n">
        <v>491618</v>
      </c>
      <c r="O185" s="57" t="n">
        <v>96885</v>
      </c>
      <c r="P185" s="53" t="n">
        <v>2910</v>
      </c>
      <c r="Q185" s="53" t="n">
        <v>894</v>
      </c>
      <c r="R185" s="54" t="n">
        <v>0.944</v>
      </c>
      <c r="S185" s="54" t="n">
        <v>0.001</v>
      </c>
      <c r="T185" s="52" t="s">
        <v>34</v>
      </c>
      <c r="U185" s="54" t="n">
        <v>0.2851</v>
      </c>
      <c r="V185" s="107"/>
      <c r="W185" s="92"/>
      <c r="X185" s="92"/>
      <c r="Y185" s="92"/>
      <c r="Z185" s="108"/>
      <c r="AA185" s="79" t="s">
        <v>146</v>
      </c>
    </row>
    <row r="186" customFormat="false" ht="17.4" hidden="false" customHeight="true" outlineLevel="0" collapsed="false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4"/>
      <c r="W186" s="33"/>
      <c r="X186" s="33"/>
      <c r="Y186" s="33"/>
      <c r="Z186" s="33"/>
      <c r="AA186" s="34"/>
    </row>
    <row r="187" customFormat="false" ht="18.9" hidden="false" customHeight="true" outlineLevel="0" collapsed="false">
      <c r="A187" s="35" t="s">
        <v>32</v>
      </c>
      <c r="B187" s="36" t="n">
        <v>23000</v>
      </c>
      <c r="C187" s="36" t="n">
        <v>25000</v>
      </c>
      <c r="D187" s="35" t="s">
        <v>36</v>
      </c>
      <c r="E187" s="36" t="str">
        <f aca="false" t="array" ref="E187:E187">IF(F187&gt;100,"T1",IF(F187&gt;50,"T2",IF(F187&gt;10,"T3",IF(F187&gt;1,"T4",IF(F187=0,"TBD","T5")))))</f>
        <v>T4</v>
      </c>
      <c r="F187" s="36" t="n">
        <v>8.7</v>
      </c>
      <c r="G187" s="37" t="n">
        <v>0.468</v>
      </c>
      <c r="H187" s="37" t="n">
        <v>0.032</v>
      </c>
      <c r="I187" s="37" t="n">
        <v>0.9211</v>
      </c>
      <c r="J187" s="37" t="n">
        <f aca="false" t="array" ref="J187:J187">O187/N187</f>
        <v>0.226294256263463</v>
      </c>
      <c r="K187" s="39" t="n">
        <f aca="false" t="array" ref="K187:K187">C187/O187</f>
        <v>0.798568964415767</v>
      </c>
      <c r="L187" s="39" t="n">
        <f aca="false" t="array" ref="L187:L187">C187/P187</f>
        <v>12.8865979381443</v>
      </c>
      <c r="M187" s="40" t="n">
        <f aca="false" t="array" ref="M187:M187">C187/Q187</f>
        <v>543.478260869565</v>
      </c>
      <c r="N187" s="40" t="n">
        <v>138342</v>
      </c>
      <c r="O187" s="40" t="n">
        <v>31306</v>
      </c>
      <c r="P187" s="36" t="n">
        <v>1940</v>
      </c>
      <c r="Q187" s="36" t="n">
        <v>46</v>
      </c>
      <c r="R187" s="37" t="n">
        <v>0.388</v>
      </c>
      <c r="S187" s="37" t="n">
        <v>0.014</v>
      </c>
      <c r="T187" s="35" t="s">
        <v>34</v>
      </c>
      <c r="U187" s="35" t="s">
        <v>34</v>
      </c>
      <c r="V187" s="102"/>
      <c r="W187" s="83"/>
      <c r="X187" s="83"/>
      <c r="Y187" s="83"/>
      <c r="Z187" s="103"/>
      <c r="AA187" s="79" t="s">
        <v>214</v>
      </c>
    </row>
    <row r="188" customFormat="false" ht="18.9" hidden="false" customHeight="true" outlineLevel="0" collapsed="false">
      <c r="A188" s="44" t="s">
        <v>32</v>
      </c>
      <c r="B188" s="45" t="n">
        <v>15000</v>
      </c>
      <c r="C188" s="45" t="n">
        <v>20000</v>
      </c>
      <c r="D188" s="44" t="s">
        <v>33</v>
      </c>
      <c r="E188" s="45" t="str">
        <f aca="false" t="array" ref="E188:E188">IF(F188&gt;100,"T1",IF(F188&gt;50,"T2",IF(F188&gt;10,"T3",IF(F188&gt;1,"T4",IF(F188=0,"TBD","T5")))))</f>
        <v>T3</v>
      </c>
      <c r="F188" s="45" t="n">
        <v>45</v>
      </c>
      <c r="G188" s="46" t="n">
        <v>0.359</v>
      </c>
      <c r="H188" s="46" t="n">
        <v>0.03</v>
      </c>
      <c r="I188" s="46" t="n">
        <v>0.9418</v>
      </c>
      <c r="J188" s="46" t="n">
        <f aca="false" t="array" ref="J188:J188">O188/N188</f>
        <v>0.148440700304558</v>
      </c>
      <c r="K188" s="48" t="n">
        <f aca="false" t="array" ref="K188:K188">C188/O188</f>
        <v>1.19983202351671</v>
      </c>
      <c r="L188" s="48" t="n">
        <f aca="false" t="array" ref="L188:L188">C188/P188</f>
        <v>21.2089077412513</v>
      </c>
      <c r="M188" s="49" t="n">
        <f aca="false" t="array" ref="M188:M188">C188/Q188</f>
        <v>125.786163522013</v>
      </c>
      <c r="N188" s="49" t="n">
        <v>112294</v>
      </c>
      <c r="O188" s="49" t="n">
        <v>16669</v>
      </c>
      <c r="P188" s="45" t="n">
        <v>943</v>
      </c>
      <c r="Q188" s="45" t="n">
        <v>159</v>
      </c>
      <c r="R188" s="46" t="n">
        <v>0.436</v>
      </c>
      <c r="S188" s="46" t="n">
        <v>0.006</v>
      </c>
      <c r="T188" s="44" t="s">
        <v>34</v>
      </c>
      <c r="U188" s="44" t="s">
        <v>34</v>
      </c>
      <c r="V188" s="77"/>
      <c r="W188" s="73"/>
      <c r="X188" s="73"/>
      <c r="Y188" s="73"/>
      <c r="Z188" s="78"/>
      <c r="AA188" s="79" t="s">
        <v>146</v>
      </c>
    </row>
    <row r="189" customFormat="false" ht="18.9" hidden="false" customHeight="true" outlineLevel="0" collapsed="false">
      <c r="A189" s="44" t="s">
        <v>32</v>
      </c>
      <c r="B189" s="45" t="n">
        <v>6000</v>
      </c>
      <c r="C189" s="45" t="n">
        <v>7500</v>
      </c>
      <c r="D189" s="44" t="s">
        <v>36</v>
      </c>
      <c r="E189" s="45" t="str">
        <f aca="false" t="array" ref="E189:E189">IF(F189&gt;100,"T1",IF(F189&gt;50,"T2",IF(F189&gt;10,"T3",IF(F189&gt;1,"T4",IF(F189=0,"TBD","T5")))))</f>
        <v>T4</v>
      </c>
      <c r="F189" s="45" t="n">
        <v>8</v>
      </c>
      <c r="G189" s="46" t="n">
        <v>0.462</v>
      </c>
      <c r="H189" s="46" t="n">
        <v>0.029</v>
      </c>
      <c r="I189" s="46" t="n">
        <v>0.8321</v>
      </c>
      <c r="J189" s="46" t="n">
        <f aca="false" t="array" ref="J189:J189">O189/N189</f>
        <v>0.1560278246637</v>
      </c>
      <c r="K189" s="48" t="n">
        <f aca="false" t="array" ref="K189:K189">C189/O189</f>
        <v>1.22930667103753</v>
      </c>
      <c r="L189" s="48" t="n">
        <f aca="false" t="array" ref="L189:L189">C189/P189</f>
        <v>5.13698630136986</v>
      </c>
      <c r="M189" s="49" t="n">
        <f aca="false" t="array" ref="M189:M189">C189/Q189</f>
        <v>1500</v>
      </c>
      <c r="N189" s="49" t="n">
        <v>39102</v>
      </c>
      <c r="O189" s="49" t="n">
        <v>6101</v>
      </c>
      <c r="P189" s="49" t="n">
        <v>1460</v>
      </c>
      <c r="Q189" s="45" t="n">
        <v>5</v>
      </c>
      <c r="R189" s="46" t="n">
        <v>0.576</v>
      </c>
      <c r="S189" s="46" t="n">
        <v>0.008</v>
      </c>
      <c r="T189" s="44" t="s">
        <v>34</v>
      </c>
      <c r="U189" s="44" t="s">
        <v>34</v>
      </c>
      <c r="V189" s="77"/>
      <c r="W189" s="73"/>
      <c r="X189" s="73"/>
      <c r="Y189" s="73"/>
      <c r="Z189" s="78"/>
      <c r="AA189" s="79" t="s">
        <v>215</v>
      </c>
    </row>
    <row r="190" customFormat="false" ht="18.9" hidden="false" customHeight="true" outlineLevel="0" collapsed="false">
      <c r="A190" s="44" t="s">
        <v>32</v>
      </c>
      <c r="B190" s="45" t="n">
        <v>40000</v>
      </c>
      <c r="C190" s="45" t="n">
        <v>40000</v>
      </c>
      <c r="D190" s="44" t="s">
        <v>61</v>
      </c>
      <c r="E190" s="45" t="str">
        <f aca="false" t="array" ref="E190:E190">IF(F190&gt;100,"T1",IF(F190&gt;50,"T2",IF(F190&gt;10,"T3",IF(F190&gt;1,"T4",IF(F190=0,"TBD","T5")))))</f>
        <v>T2</v>
      </c>
      <c r="F190" s="45" t="n">
        <v>57</v>
      </c>
      <c r="G190" s="46" t="n">
        <v>0.345</v>
      </c>
      <c r="H190" s="46" t="n">
        <v>0.069</v>
      </c>
      <c r="I190" s="46" t="n">
        <v>0.902</v>
      </c>
      <c r="J190" s="46" t="n">
        <f aca="false" t="array" ref="J190:J190">O190/N190</f>
        <v>0.363718172001178</v>
      </c>
      <c r="K190" s="48" t="n">
        <f aca="false" t="array" ref="K190:K190">C190/O190</f>
        <v>0.19993102379679</v>
      </c>
      <c r="L190" s="48" t="n">
        <f aca="false" t="array" ref="L190:L190">C190/P190</f>
        <v>2.42248062015504</v>
      </c>
      <c r="M190" s="49" t="n">
        <f aca="false" t="array" ref="M190:M190">C190/Q190</f>
        <v>47.4495848161329</v>
      </c>
      <c r="N190" s="49" t="n">
        <v>550066</v>
      </c>
      <c r="O190" s="49" t="n">
        <v>200069</v>
      </c>
      <c r="P190" s="49" t="n">
        <v>16512</v>
      </c>
      <c r="Q190" s="45" t="n">
        <v>843</v>
      </c>
      <c r="R190" s="46" t="n">
        <v>0.912</v>
      </c>
      <c r="S190" s="46" t="n">
        <v>0</v>
      </c>
      <c r="T190" s="44" t="s">
        <v>34</v>
      </c>
      <c r="U190" s="46" t="n">
        <v>0.1765</v>
      </c>
      <c r="V190" s="90" t="s">
        <v>139</v>
      </c>
      <c r="W190" s="72" t="s">
        <v>67</v>
      </c>
      <c r="X190" s="72" t="s">
        <v>68</v>
      </c>
      <c r="Y190" s="73"/>
      <c r="Z190" s="78"/>
      <c r="AA190" s="119" t="s">
        <v>216</v>
      </c>
    </row>
    <row r="191" customFormat="false" ht="18.9" hidden="false" customHeight="true" outlineLevel="0" collapsed="false">
      <c r="A191" s="44" t="s">
        <v>32</v>
      </c>
      <c r="B191" s="45" t="n">
        <v>25000</v>
      </c>
      <c r="C191" s="45" t="n">
        <v>38000</v>
      </c>
      <c r="D191" s="44" t="s">
        <v>33</v>
      </c>
      <c r="E191" s="45" t="str">
        <f aca="false" t="array" ref="E191:E191">IF(F191&gt;100,"T1",IF(F191&gt;50,"T2",IF(F191&gt;10,"T3",IF(F191&gt;1,"T4",IF(F191=0,"TBD","T5")))))</f>
        <v>T3</v>
      </c>
      <c r="F191" s="45" t="n">
        <v>46.7</v>
      </c>
      <c r="G191" s="46" t="n">
        <v>0.401</v>
      </c>
      <c r="H191" s="46" t="n">
        <v>0.025</v>
      </c>
      <c r="I191" s="46" t="n">
        <v>0.964</v>
      </c>
      <c r="J191" s="46" t="n">
        <f aca="false" t="array" ref="J191:J191">O191/N191</f>
        <v>0.129025094381523</v>
      </c>
      <c r="K191" s="48" t="n">
        <f aca="false" t="array" ref="K191:K191">C191/O191</f>
        <v>4.36029833620195</v>
      </c>
      <c r="L191" s="48" t="n">
        <f aca="false" t="array" ref="L191:L191">C191/P191</f>
        <v>45.4545454545455</v>
      </c>
      <c r="M191" s="49" t="n">
        <f aca="false" t="array" ref="M191:M191">C191/Q191</f>
        <v>95</v>
      </c>
      <c r="N191" s="49" t="n">
        <v>67545</v>
      </c>
      <c r="O191" s="49" t="n">
        <v>8715</v>
      </c>
      <c r="P191" s="45" t="n">
        <v>836</v>
      </c>
      <c r="Q191" s="45" t="n">
        <v>400</v>
      </c>
      <c r="R191" s="46" t="n">
        <v>0.367</v>
      </c>
      <c r="S191" s="46" t="n">
        <v>0.029</v>
      </c>
      <c r="T191" s="44" t="s">
        <v>34</v>
      </c>
      <c r="U191" s="44" t="s">
        <v>34</v>
      </c>
      <c r="V191" s="77"/>
      <c r="W191" s="73"/>
      <c r="X191" s="73"/>
      <c r="Y191" s="73"/>
      <c r="Z191" s="78"/>
      <c r="AA191" s="117" t="s">
        <v>146</v>
      </c>
    </row>
    <row r="192" customFormat="false" ht="18.9" hidden="false" customHeight="true" outlineLevel="0" collapsed="false">
      <c r="A192" s="44" t="s">
        <v>32</v>
      </c>
      <c r="B192" s="45" t="n">
        <v>29000</v>
      </c>
      <c r="C192" s="45" t="n">
        <v>42000</v>
      </c>
      <c r="D192" s="44" t="s">
        <v>36</v>
      </c>
      <c r="E192" s="45" t="str">
        <f aca="false" t="array" ref="E192:E192">IF(F192&gt;100,"T1",IF(F192&gt;50,"T2",IF(F192&gt;10,"T3",IF(F192&gt;1,"T4",IF(F192=0,"TBD","T5")))))</f>
        <v>T2</v>
      </c>
      <c r="F192" s="45" t="n">
        <v>99.1</v>
      </c>
      <c r="G192" s="46" t="n">
        <v>0.299</v>
      </c>
      <c r="H192" s="46" t="n">
        <v>0.056</v>
      </c>
      <c r="I192" s="46" t="n">
        <v>0.8837</v>
      </c>
      <c r="J192" s="46" t="n">
        <f aca="false" t="array" ref="J192:J192">O192/N192</f>
        <v>0.262371436360482</v>
      </c>
      <c r="K192" s="48" t="n">
        <f aca="false" t="array" ref="K192:K192">C192/O192</f>
        <v>0.264485292728544</v>
      </c>
      <c r="L192" s="48" t="n">
        <f aca="false" t="array" ref="L192:L192">C192/P192</f>
        <v>3.99695470118005</v>
      </c>
      <c r="M192" s="49" t="n">
        <f aca="false" t="array" ref="M192:M192">C192/Q192</f>
        <v>19.4174757281553</v>
      </c>
      <c r="N192" s="49" t="n">
        <v>605245</v>
      </c>
      <c r="O192" s="49" t="n">
        <v>158799</v>
      </c>
      <c r="P192" s="45" t="n">
        <v>10508</v>
      </c>
      <c r="Q192" s="49" t="n">
        <v>2163</v>
      </c>
      <c r="R192" s="46" t="n">
        <v>0.835</v>
      </c>
      <c r="S192" s="46" t="n">
        <v>0</v>
      </c>
      <c r="T192" s="44" t="s">
        <v>34</v>
      </c>
      <c r="U192" s="46" t="n">
        <v>0.5873</v>
      </c>
      <c r="V192" s="77"/>
      <c r="W192" s="73"/>
      <c r="X192" s="73"/>
      <c r="Y192" s="73"/>
      <c r="Z192" s="73"/>
      <c r="AA192" s="105" t="s">
        <v>107</v>
      </c>
    </row>
    <row r="193" customFormat="false" ht="18.9" hidden="false" customHeight="true" outlineLevel="0" collapsed="false">
      <c r="A193" s="44" t="s">
        <v>32</v>
      </c>
      <c r="B193" s="45" t="n">
        <v>35000</v>
      </c>
      <c r="C193" s="45" t="n">
        <v>55000</v>
      </c>
      <c r="D193" s="44" t="s">
        <v>33</v>
      </c>
      <c r="E193" s="45" t="str">
        <f aca="false" t="array" ref="E193:E193">IF(F193&gt;100,"T1",IF(F193&gt;50,"T2",IF(F193&gt;10,"T3",IF(F193&gt;1,"T4",IF(F193=0,"TBD","T5")))))</f>
        <v>T3</v>
      </c>
      <c r="F193" s="45" t="n">
        <v>16.7</v>
      </c>
      <c r="G193" s="46" t="n">
        <v>0.296</v>
      </c>
      <c r="H193" s="46" t="n">
        <v>0.056</v>
      </c>
      <c r="I193" s="46" t="n">
        <v>0.9293</v>
      </c>
      <c r="J193" s="46" t="n">
        <f aca="false" t="array" ref="J193:J193">O193/N193</f>
        <v>0.190160249155043</v>
      </c>
      <c r="K193" s="48" t="n">
        <f aca="false" t="array" ref="K193:K193">C193/O193</f>
        <v>2.25761431737953</v>
      </c>
      <c r="L193" s="48" t="n">
        <f aca="false" t="array" ref="L193:L193">C193/P193</f>
        <v>18.0861558697797</v>
      </c>
      <c r="M193" s="49" t="n">
        <f aca="false" t="array" ref="M193:M193">C193/Q193</f>
        <v>47.7016478751084</v>
      </c>
      <c r="N193" s="49" t="n">
        <v>128113</v>
      </c>
      <c r="O193" s="49" t="n">
        <v>24362</v>
      </c>
      <c r="P193" s="45" t="n">
        <v>3041</v>
      </c>
      <c r="Q193" s="45" t="n">
        <v>1153</v>
      </c>
      <c r="R193" s="46" t="n">
        <v>0.925</v>
      </c>
      <c r="S193" s="46" t="n">
        <v>0.008</v>
      </c>
      <c r="T193" s="44" t="s">
        <v>34</v>
      </c>
      <c r="U193" s="46" t="n">
        <v>0.2255</v>
      </c>
      <c r="V193" s="77"/>
      <c r="W193" s="73"/>
      <c r="X193" s="73"/>
      <c r="Y193" s="73"/>
      <c r="Z193" s="73"/>
      <c r="AA193" s="105" t="s">
        <v>107</v>
      </c>
    </row>
    <row r="194" customFormat="false" ht="18.9" hidden="false" customHeight="true" outlineLevel="0" collapsed="false">
      <c r="A194" s="44" t="s">
        <v>32</v>
      </c>
      <c r="B194" s="45" t="n">
        <v>22000</v>
      </c>
      <c r="C194" s="45" t="n">
        <v>29800</v>
      </c>
      <c r="D194" s="44" t="s">
        <v>33</v>
      </c>
      <c r="E194" s="45" t="str">
        <f aca="false" t="array" ref="E194:E194">IF(F194&gt;100,"T1",IF(F194&gt;50,"T2",IF(F194&gt;10,"T3",IF(F194&gt;1,"T4",IF(F194=0,"TBD","T5")))))</f>
        <v>T3</v>
      </c>
      <c r="F194" s="45" t="n">
        <v>10.5</v>
      </c>
      <c r="G194" s="46" t="n">
        <v>0.281</v>
      </c>
      <c r="H194" s="46" t="n">
        <v>0.066</v>
      </c>
      <c r="I194" s="46" t="n">
        <v>0.9294</v>
      </c>
      <c r="J194" s="46" t="n">
        <f aca="false" t="array" ref="J194:J194">O194/N194</f>
        <v>0.233583082417198</v>
      </c>
      <c r="K194" s="48" t="n">
        <f aca="false" t="array" ref="K194:K194">C194/O194</f>
        <v>1.7866778583848</v>
      </c>
      <c r="L194" s="48" t="n">
        <f aca="false" t="array" ref="L194:L194">C194/P194</f>
        <v>11.4969135802469</v>
      </c>
      <c r="M194" s="49" t="n">
        <f aca="false" t="array" ref="M194:M194">C194/Q194</f>
        <v>3.17764981872467</v>
      </c>
      <c r="N194" s="49" t="n">
        <v>71405</v>
      </c>
      <c r="O194" s="49" t="n">
        <v>16679</v>
      </c>
      <c r="P194" s="49" t="n">
        <v>2592</v>
      </c>
      <c r="Q194" s="49" t="n">
        <v>9378</v>
      </c>
      <c r="R194" s="46" t="n">
        <v>0.676</v>
      </c>
      <c r="S194" s="46" t="n">
        <v>0.248</v>
      </c>
      <c r="T194" s="44" t="s">
        <v>34</v>
      </c>
      <c r="U194" s="44" t="s">
        <v>34</v>
      </c>
      <c r="V194" s="77"/>
      <c r="W194" s="73"/>
      <c r="X194" s="73"/>
      <c r="Y194" s="73"/>
      <c r="Z194" s="78"/>
      <c r="AA194" s="106" t="s">
        <v>145</v>
      </c>
    </row>
    <row r="195" customFormat="false" ht="18.9" hidden="false" customHeight="true" outlineLevel="0" collapsed="false">
      <c r="A195" s="44" t="s">
        <v>32</v>
      </c>
      <c r="B195" s="45" t="n">
        <v>12000</v>
      </c>
      <c r="C195" s="45" t="n">
        <v>16800</v>
      </c>
      <c r="D195" s="44" t="s">
        <v>36</v>
      </c>
      <c r="E195" s="45" t="str">
        <f aca="false" t="array" ref="E195:E195">IF(F195&gt;100,"T1",IF(F195&gt;50,"T2",IF(F195&gt;10,"T3",IF(F195&gt;1,"T4",IF(F195=0,"TBD","T5")))))</f>
        <v>T4</v>
      </c>
      <c r="F195" s="45" t="n">
        <v>4.2</v>
      </c>
      <c r="G195" s="46" t="n">
        <v>0.292</v>
      </c>
      <c r="H195" s="46" t="n">
        <v>0.074</v>
      </c>
      <c r="I195" s="46" t="n">
        <v>0.9312</v>
      </c>
      <c r="J195" s="46" t="n">
        <f aca="false" t="array" ref="J195:J195">O195/N195</f>
        <v>0.205397170837867</v>
      </c>
      <c r="K195" s="48" t="n">
        <f aca="false" t="array" ref="K195:K195">C195/O195</f>
        <v>1.78003814367451</v>
      </c>
      <c r="L195" s="48" t="n">
        <f aca="false" t="array" ref="L195:L195">C195/P195</f>
        <v>13.6696501220504</v>
      </c>
      <c r="M195" s="49" t="n">
        <f aca="false" t="array" ref="M195:M195">C195/Q195</f>
        <v>101.204819277108</v>
      </c>
      <c r="N195" s="49" t="n">
        <v>45950</v>
      </c>
      <c r="O195" s="49" t="n">
        <v>9438</v>
      </c>
      <c r="P195" s="49" t="n">
        <v>1229</v>
      </c>
      <c r="Q195" s="45" t="n">
        <v>166</v>
      </c>
      <c r="R195" s="46" t="n">
        <v>0.91</v>
      </c>
      <c r="S195" s="46" t="n">
        <v>0.015</v>
      </c>
      <c r="T195" s="44" t="s">
        <v>34</v>
      </c>
      <c r="U195" s="46" t="n">
        <v>0.0529</v>
      </c>
      <c r="V195" s="77"/>
      <c r="W195" s="73"/>
      <c r="X195" s="73"/>
      <c r="Y195" s="73"/>
      <c r="Z195" s="78"/>
      <c r="AA195" s="89" t="s">
        <v>145</v>
      </c>
    </row>
    <row r="196" customFormat="false" ht="18.9" hidden="false" customHeight="true" outlineLevel="0" collapsed="false">
      <c r="A196" s="52" t="s">
        <v>32</v>
      </c>
      <c r="B196" s="53" t="n">
        <v>16000</v>
      </c>
      <c r="C196" s="53" t="n">
        <v>18000</v>
      </c>
      <c r="D196" s="52" t="s">
        <v>33</v>
      </c>
      <c r="E196" s="53" t="str">
        <f aca="false" t="array" ref="E196:E196">IF(F196&gt;100,"T1",IF(F196&gt;50,"T2",IF(F196&gt;10,"T3",IF(F196&gt;1,"T4",IF(F196=0,"TBD","T5")))))</f>
        <v>T3</v>
      </c>
      <c r="F196" s="53" t="n">
        <v>11.6</v>
      </c>
      <c r="G196" s="54" t="n">
        <v>0.246</v>
      </c>
      <c r="H196" s="54" t="n">
        <v>0.08</v>
      </c>
      <c r="I196" s="54" t="n">
        <v>0.8504</v>
      </c>
      <c r="J196" s="54" t="n">
        <f aca="false" t="array" ref="J196:J196">O196/N196</f>
        <v>0.255541477814496</v>
      </c>
      <c r="K196" s="56" t="n">
        <f aca="false" t="array" ref="K196:K196">C196/O196</f>
        <v>0.920057248006543</v>
      </c>
      <c r="L196" s="56" t="n">
        <f aca="false" t="array" ref="L196:L196">C196/P196</f>
        <v>10.2974828375286</v>
      </c>
      <c r="M196" s="57" t="n">
        <f aca="false" t="array" ref="M196:M196">C196/Q196</f>
        <v>94.2408376963351</v>
      </c>
      <c r="N196" s="57" t="n">
        <v>76559</v>
      </c>
      <c r="O196" s="57" t="n">
        <v>19564</v>
      </c>
      <c r="P196" s="57" t="n">
        <v>1748</v>
      </c>
      <c r="Q196" s="53" t="n">
        <v>191</v>
      </c>
      <c r="R196" s="54" t="n">
        <v>0.874</v>
      </c>
      <c r="S196" s="54" t="n">
        <v>0.017</v>
      </c>
      <c r="T196" s="52" t="s">
        <v>34</v>
      </c>
      <c r="U196" s="54" t="n">
        <v>0.5238</v>
      </c>
      <c r="V196" s="96" t="s">
        <v>139</v>
      </c>
      <c r="W196" s="91" t="s">
        <v>67</v>
      </c>
      <c r="X196" s="91" t="s">
        <v>68</v>
      </c>
      <c r="Y196" s="92"/>
      <c r="Z196" s="120" t="s">
        <v>217</v>
      </c>
      <c r="AA196" s="79" t="s">
        <v>218</v>
      </c>
    </row>
    <row r="197" customFormat="false" ht="17.4" hidden="false" customHeight="true" outlineLevel="0" collapsed="false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4"/>
      <c r="W197" s="33"/>
      <c r="X197" s="33"/>
      <c r="Y197" s="33"/>
      <c r="Z197" s="33"/>
      <c r="AA197" s="34"/>
    </row>
    <row r="198" customFormat="false" ht="18.9" hidden="false" customHeight="true" outlineLevel="0" collapsed="false">
      <c r="A198" s="35" t="s">
        <v>32</v>
      </c>
      <c r="B198" s="36" t="n">
        <v>20800</v>
      </c>
      <c r="C198" s="36" t="n">
        <v>26800</v>
      </c>
      <c r="D198" s="35" t="s">
        <v>36</v>
      </c>
      <c r="E198" s="36" t="str">
        <f aca="false" t="array" ref="E198:E198">IF(F198&gt;100,"T1",IF(F198&gt;50,"T2",IF(F198&gt;10,"T3",IF(F198&gt;1,"T4",IF(F198=0,"TBD","T5")))))</f>
        <v>T3</v>
      </c>
      <c r="F198" s="36" t="n">
        <v>24.8</v>
      </c>
      <c r="G198" s="37" t="n">
        <v>0.34</v>
      </c>
      <c r="H198" s="37" t="n">
        <v>0.068</v>
      </c>
      <c r="I198" s="37" t="n">
        <v>0.754</v>
      </c>
      <c r="J198" s="37" t="n">
        <f aca="false" t="array" ref="J198:J198">O198/N198</f>
        <v>0.140432337445662</v>
      </c>
      <c r="K198" s="39" t="n">
        <f aca="false" t="array" ref="K198:K198">C198/O198</f>
        <v>0.628002343292326</v>
      </c>
      <c r="L198" s="39" t="n">
        <f aca="false" t="array" ref="L198:L198">C198/P198</f>
        <v>14.5810663764962</v>
      </c>
      <c r="M198" s="40" t="e">
        <f aca="false" t="array" ref="M198:M198">C198/Q198</f>
        <v>#VALUE!</v>
      </c>
      <c r="N198" s="40" t="n">
        <v>303883</v>
      </c>
      <c r="O198" s="40" t="n">
        <v>42675</v>
      </c>
      <c r="P198" s="36" t="n">
        <v>1838</v>
      </c>
      <c r="Q198" s="35" t="s">
        <v>38</v>
      </c>
      <c r="R198" s="37" t="n">
        <v>0.869</v>
      </c>
      <c r="S198" s="37" t="n">
        <v>0.013</v>
      </c>
      <c r="T198" s="35" t="s">
        <v>34</v>
      </c>
      <c r="U198" s="37" t="n">
        <v>0.2113</v>
      </c>
      <c r="V198" s="102"/>
      <c r="W198" s="83"/>
      <c r="X198" s="83"/>
      <c r="Y198" s="83"/>
      <c r="Z198" s="103"/>
      <c r="AA198" s="104" t="s">
        <v>219</v>
      </c>
    </row>
    <row r="199" customFormat="false" ht="18.9" hidden="false" customHeight="true" outlineLevel="0" collapsed="false">
      <c r="A199" s="44" t="s">
        <v>32</v>
      </c>
      <c r="B199" s="45" t="n">
        <v>29000</v>
      </c>
      <c r="C199" s="45" t="n">
        <v>36000</v>
      </c>
      <c r="D199" s="44" t="s">
        <v>61</v>
      </c>
      <c r="E199" s="45" t="str">
        <f aca="false" t="array" ref="E199:E199">IF(F199&gt;100,"T1",IF(F199&gt;50,"T2",IF(F199&gt;10,"T3",IF(F199&gt;1,"T4",IF(F199=0,"TBD","T5")))))</f>
        <v>T2</v>
      </c>
      <c r="F199" s="45" t="n">
        <v>65.9</v>
      </c>
      <c r="G199" s="46" t="n">
        <v>0.44</v>
      </c>
      <c r="H199" s="46" t="n">
        <v>0.047</v>
      </c>
      <c r="I199" s="46" t="n">
        <v>0.9206</v>
      </c>
      <c r="J199" s="46" t="n">
        <f aca="false" t="array" ref="J199:J199">O199/N199</f>
        <v>0.157582376980437</v>
      </c>
      <c r="K199" s="48" t="n">
        <f aca="false" t="array" ref="K199:K199">C199/O199</f>
        <v>0.176585715196672</v>
      </c>
      <c r="L199" s="48" t="n">
        <f aca="false" t="array" ref="L199:L199">C199/P199</f>
        <v>4.59359448768662</v>
      </c>
      <c r="M199" s="49" t="n">
        <f aca="false" t="array" ref="M199:M199">C199/Q199</f>
        <v>0.0833925961273405</v>
      </c>
      <c r="N199" s="45" t="n">
        <v>1293717</v>
      </c>
      <c r="O199" s="45" t="n">
        <v>203867</v>
      </c>
      <c r="P199" s="45" t="n">
        <v>7837</v>
      </c>
      <c r="Q199" s="45" t="n">
        <v>431693</v>
      </c>
      <c r="R199" s="46" t="n">
        <v>0.87</v>
      </c>
      <c r="S199" s="46" t="n">
        <v>0.026</v>
      </c>
      <c r="T199" s="44" t="s">
        <v>34</v>
      </c>
      <c r="U199" s="46" t="n">
        <v>0.8286</v>
      </c>
      <c r="V199" s="77"/>
      <c r="W199" s="73"/>
      <c r="X199" s="73"/>
      <c r="Y199" s="73"/>
      <c r="Z199" s="73"/>
      <c r="AA199" s="105" t="s">
        <v>107</v>
      </c>
    </row>
    <row r="200" customFormat="false" ht="18.9" hidden="false" customHeight="true" outlineLevel="0" collapsed="false">
      <c r="A200" s="44" t="s">
        <v>32</v>
      </c>
      <c r="B200" s="45" t="n">
        <v>14000</v>
      </c>
      <c r="C200" s="45" t="n">
        <v>29000</v>
      </c>
      <c r="D200" s="44" t="s">
        <v>61</v>
      </c>
      <c r="E200" s="45" t="str">
        <f aca="false" t="array" ref="E200:E200">IF(F200&gt;100,"T1",IF(F200&gt;50,"T2",IF(F200&gt;10,"T3",IF(F200&gt;1,"T4",IF(F200=0,"TBD","T5")))))</f>
        <v>T4</v>
      </c>
      <c r="F200" s="45" t="n">
        <v>8.5</v>
      </c>
      <c r="G200" s="46" t="n">
        <v>0.34</v>
      </c>
      <c r="H200" s="46" t="n">
        <v>0.066</v>
      </c>
      <c r="I200" s="46" t="n">
        <v>0.8229</v>
      </c>
      <c r="J200" s="46" t="n">
        <f aca="false" t="array" ref="J200:J200">O200/N200</f>
        <v>0.229815892245158</v>
      </c>
      <c r="K200" s="48" t="n">
        <f aca="false" t="array" ref="K200:K200">C200/O200</f>
        <v>0.718373008992048</v>
      </c>
      <c r="L200" s="48" t="n">
        <f aca="false" t="array" ref="L200:L200">C200/P200</f>
        <v>8.04438280166436</v>
      </c>
      <c r="M200" s="49" t="n">
        <f aca="false" t="array" ref="M200:M200">C200/Q200</f>
        <v>116</v>
      </c>
      <c r="N200" s="45" t="n">
        <v>175658</v>
      </c>
      <c r="O200" s="45" t="n">
        <v>40369</v>
      </c>
      <c r="P200" s="45" t="n">
        <v>3605</v>
      </c>
      <c r="Q200" s="45" t="n">
        <v>250</v>
      </c>
      <c r="R200" s="46" t="n">
        <v>0.954</v>
      </c>
      <c r="S200" s="46" t="n">
        <v>0.009</v>
      </c>
      <c r="T200" s="44" t="s">
        <v>34</v>
      </c>
      <c r="U200" s="46" t="n">
        <v>0.6417</v>
      </c>
      <c r="V200" s="77"/>
      <c r="W200" s="73"/>
      <c r="X200" s="73"/>
      <c r="Y200" s="73"/>
      <c r="Z200" s="78"/>
      <c r="AA200" s="118" t="s">
        <v>220</v>
      </c>
    </row>
    <row r="201" customFormat="false" ht="18.9" hidden="false" customHeight="true" outlineLevel="0" collapsed="false">
      <c r="A201" s="44" t="s">
        <v>32</v>
      </c>
      <c r="B201" s="45" t="n">
        <v>15000</v>
      </c>
      <c r="C201" s="45" t="n">
        <v>26000</v>
      </c>
      <c r="D201" s="44" t="s">
        <v>61</v>
      </c>
      <c r="E201" s="45" t="str">
        <f aca="false" t="array" ref="E201:E201">IF(F201&gt;100,"T1",IF(F201&gt;50,"T2",IF(F201&gt;10,"T3",IF(F201&gt;1,"T4",IF(F201=0,"TBD","T5")))))</f>
        <v>T4</v>
      </c>
      <c r="F201" s="45" t="n">
        <v>5.5</v>
      </c>
      <c r="G201" s="46" t="n">
        <v>0.328</v>
      </c>
      <c r="H201" s="46" t="n">
        <v>0.063</v>
      </c>
      <c r="I201" s="46" t="n">
        <v>0.8526</v>
      </c>
      <c r="J201" s="46" t="n">
        <f aca="false" t="array" ref="J201:J201">O201/N201</f>
        <v>0.673670758360659</v>
      </c>
      <c r="K201" s="48" t="n">
        <f aca="false" t="array" ref="K201:K201">C201/O201</f>
        <v>0.028135818086786</v>
      </c>
      <c r="L201" s="48" t="n">
        <f aca="false" t="array" ref="L201:L201">C201/P201</f>
        <v>1.18171075356786</v>
      </c>
      <c r="M201" s="49" t="n">
        <f aca="false" t="array" ref="M201:M201">C201/Q201</f>
        <v>13.2788559754852</v>
      </c>
      <c r="N201" s="45" t="n">
        <v>1371722</v>
      </c>
      <c r="O201" s="45" t="n">
        <v>924089</v>
      </c>
      <c r="P201" s="45" t="n">
        <v>22002</v>
      </c>
      <c r="Q201" s="45" t="n">
        <v>1958</v>
      </c>
      <c r="R201" s="46" t="n">
        <v>0.96</v>
      </c>
      <c r="S201" s="46" t="n">
        <v>0.001</v>
      </c>
      <c r="T201" s="44" t="s">
        <v>34</v>
      </c>
      <c r="U201" s="46" t="n">
        <v>0.7031</v>
      </c>
      <c r="V201" s="90" t="s">
        <v>139</v>
      </c>
      <c r="W201" s="72" t="s">
        <v>67</v>
      </c>
      <c r="X201" s="72" t="s">
        <v>68</v>
      </c>
      <c r="Y201" s="73"/>
      <c r="Z201" s="78"/>
      <c r="AA201" s="79" t="s">
        <v>221</v>
      </c>
    </row>
    <row r="202" customFormat="false" ht="18.9" hidden="false" customHeight="true" outlineLevel="0" collapsed="false">
      <c r="A202" s="44" t="s">
        <v>32</v>
      </c>
      <c r="B202" s="45" t="n">
        <v>10000</v>
      </c>
      <c r="C202" s="45" t="n">
        <v>15000</v>
      </c>
      <c r="D202" s="44" t="s">
        <v>36</v>
      </c>
      <c r="E202" s="45" t="str">
        <f aca="false" t="array" ref="E202:E202">IF(F202&gt;100,"T1",IF(F202&gt;50,"T2",IF(F202&gt;10,"T3",IF(F202&gt;1,"T4",IF(F202=0,"TBD","T5")))))</f>
        <v>T3</v>
      </c>
      <c r="F202" s="45" t="n">
        <v>10.8</v>
      </c>
      <c r="G202" s="46" t="n">
        <v>0.291</v>
      </c>
      <c r="H202" s="46" t="n">
        <v>0.035</v>
      </c>
      <c r="I202" s="46" t="n">
        <v>0.9219</v>
      </c>
      <c r="J202" s="46" t="n">
        <f aca="false" t="array" ref="J202:J202">O202/N202</f>
        <v>0.159516127598681</v>
      </c>
      <c r="K202" s="48" t="n">
        <f aca="false" t="array" ref="K202:K202">C202/O202</f>
        <v>0.835794283167103</v>
      </c>
      <c r="L202" s="48" t="n">
        <f aca="false" t="array" ref="L202:L202">C202/P202</f>
        <v>10.4239054899236</v>
      </c>
      <c r="M202" s="49" t="e">
        <f aca="false" t="array" ref="M202:M202">C202/Q202</f>
        <v>#VALUE!</v>
      </c>
      <c r="N202" s="45" t="n">
        <v>112509</v>
      </c>
      <c r="O202" s="45" t="n">
        <v>17947</v>
      </c>
      <c r="P202" s="45" t="n">
        <v>1439</v>
      </c>
      <c r="Q202" s="44" t="s">
        <v>34</v>
      </c>
      <c r="R202" s="46" t="n">
        <v>0.8</v>
      </c>
      <c r="S202" s="46" t="n">
        <v>0.008</v>
      </c>
      <c r="T202" s="46" t="n">
        <v>0.1501</v>
      </c>
      <c r="U202" s="46" t="n">
        <v>0.6667</v>
      </c>
      <c r="V202" s="77"/>
      <c r="W202" s="73"/>
      <c r="X202" s="73"/>
      <c r="Y202" s="73"/>
      <c r="Z202" s="78"/>
      <c r="AA202" s="79" t="s">
        <v>222</v>
      </c>
    </row>
    <row r="203" customFormat="false" ht="18.9" hidden="false" customHeight="true" outlineLevel="0" collapsed="false">
      <c r="A203" s="44" t="s">
        <v>32</v>
      </c>
      <c r="B203" s="45" t="n">
        <v>15000</v>
      </c>
      <c r="C203" s="45" t="n">
        <v>20000</v>
      </c>
      <c r="D203" s="44" t="s">
        <v>36</v>
      </c>
      <c r="E203" s="45" t="str">
        <f aca="false" t="array" ref="E203:E203">IF(F203&gt;100,"T1",IF(F203&gt;50,"T2",IF(F203&gt;10,"T3",IF(F203&gt;1,"T4",IF(F203=0,"TBD","T5")))))</f>
        <v>T3</v>
      </c>
      <c r="F203" s="45" t="n">
        <v>13.4</v>
      </c>
      <c r="G203" s="46" t="n">
        <v>0.278</v>
      </c>
      <c r="H203" s="46" t="n">
        <v>0.065</v>
      </c>
      <c r="I203" s="46" t="n">
        <v>0.7562</v>
      </c>
      <c r="J203" s="46" t="n">
        <f aca="false" t="array" ref="J203:J203">O203/N203</f>
        <v>0.138288498419116</v>
      </c>
      <c r="K203" s="48" t="n">
        <f aca="false" t="array" ref="K203:K203">C203/O203</f>
        <v>7.49625187406297</v>
      </c>
      <c r="L203" s="48" t="n">
        <f aca="false" t="array" ref="L203:L203">C203/P203</f>
        <v>9.91571641051066</v>
      </c>
      <c r="M203" s="49" t="n">
        <f aca="false" t="array" ref="M203:M203">C203/Q203</f>
        <v>22.5479143179256</v>
      </c>
      <c r="N203" s="49" t="n">
        <v>19293</v>
      </c>
      <c r="O203" s="49" t="n">
        <v>2668</v>
      </c>
      <c r="P203" s="49" t="n">
        <v>2017</v>
      </c>
      <c r="Q203" s="45" t="n">
        <v>887</v>
      </c>
      <c r="R203" s="46" t="n">
        <v>0.165</v>
      </c>
      <c r="S203" s="46" t="n">
        <v>0.035</v>
      </c>
      <c r="T203" s="44" t="s">
        <v>34</v>
      </c>
      <c r="U203" s="46" t="n">
        <v>0.4021</v>
      </c>
      <c r="V203" s="77"/>
      <c r="W203" s="73"/>
      <c r="X203" s="73"/>
      <c r="Y203" s="73"/>
      <c r="Z203" s="78"/>
      <c r="AA203" s="79" t="s">
        <v>219</v>
      </c>
    </row>
    <row r="204" customFormat="false" ht="18.9" hidden="false" customHeight="true" outlineLevel="0" collapsed="false">
      <c r="A204" s="44" t="s">
        <v>32</v>
      </c>
      <c r="B204" s="45" t="n">
        <v>66000</v>
      </c>
      <c r="C204" s="45" t="n">
        <v>106000</v>
      </c>
      <c r="D204" s="44" t="s">
        <v>36</v>
      </c>
      <c r="E204" s="45" t="str">
        <f aca="false" t="array" ref="E204:E204">IF(F204&gt;100,"T1",IF(F204&gt;50,"T2",IF(F204&gt;10,"T3",IF(F204&gt;1,"T4",IF(F204=0,"TBD","T5")))))</f>
        <v>T2</v>
      </c>
      <c r="F204" s="45" t="n">
        <v>88</v>
      </c>
      <c r="G204" s="46" t="n">
        <v>0.3</v>
      </c>
      <c r="H204" s="46" t="n">
        <v>0.044</v>
      </c>
      <c r="I204" s="46" t="n">
        <v>0.8778</v>
      </c>
      <c r="J204" s="46" t="n">
        <f aca="false" t="array" ref="J204:J204">O204/N204</f>
        <v>0.106790057614158</v>
      </c>
      <c r="K204" s="48" t="n">
        <f aca="false" t="array" ref="K204:K204">C204/O204</f>
        <v>0.298242060008553</v>
      </c>
      <c r="L204" s="48" t="n">
        <f aca="false" t="array" ref="L204:L204">C204/P204</f>
        <v>22.1757322175732</v>
      </c>
      <c r="M204" s="49" t="n">
        <f aca="false" t="array" ref="M204:M204">C204/Q204</f>
        <v>7.25480802135377</v>
      </c>
      <c r="N204" s="45" t="n">
        <v>3328175</v>
      </c>
      <c r="O204" s="45" t="n">
        <v>355416</v>
      </c>
      <c r="P204" s="45" t="n">
        <v>4780</v>
      </c>
      <c r="Q204" s="45" t="n">
        <v>14611</v>
      </c>
      <c r="R204" s="46" t="n">
        <v>0.822</v>
      </c>
      <c r="S204" s="46" t="n">
        <v>0.011</v>
      </c>
      <c r="T204" s="44" t="s">
        <v>34</v>
      </c>
      <c r="U204" s="44" t="s">
        <v>34</v>
      </c>
      <c r="V204" s="77"/>
      <c r="W204" s="73"/>
      <c r="X204" s="73"/>
      <c r="Y204" s="73"/>
      <c r="Z204" s="78"/>
      <c r="AA204" s="79" t="s">
        <v>223</v>
      </c>
    </row>
    <row r="205" customFormat="false" ht="18.9" hidden="false" customHeight="true" outlineLevel="0" collapsed="false">
      <c r="A205" s="44" t="s">
        <v>32</v>
      </c>
      <c r="B205" s="45" t="n">
        <v>38400</v>
      </c>
      <c r="C205" s="45" t="n">
        <v>48000</v>
      </c>
      <c r="D205" s="44" t="s">
        <v>36</v>
      </c>
      <c r="E205" s="45" t="str">
        <f aca="false" t="array" ref="E205:E205">IF(F205&gt;100,"T1",IF(F205&gt;50,"T2",IF(F205&gt;10,"T3",IF(F205&gt;1,"T4",IF(F205=0,"TBD","T5")))))</f>
        <v>T1</v>
      </c>
      <c r="F205" s="45" t="n">
        <v>255.8</v>
      </c>
      <c r="G205" s="46" t="n">
        <v>0.28</v>
      </c>
      <c r="H205" s="46" t="n">
        <v>0.078</v>
      </c>
      <c r="I205" s="46" t="n">
        <v>0.8935</v>
      </c>
      <c r="J205" s="46" t="n">
        <f aca="false" t="array" ref="J205:J205">O205/N205</f>
        <v>0.251915065736362</v>
      </c>
      <c r="K205" s="48" t="n">
        <f aca="false" t="array" ref="K205:K205">C205/O205</f>
        <v>0.105286708869089</v>
      </c>
      <c r="L205" s="48" t="n">
        <f aca="false" t="array" ref="L205:L205">C205/P205</f>
        <v>0.66080204848635</v>
      </c>
      <c r="M205" s="49" t="n">
        <f aca="false" t="array" ref="M205:M205">C205/Q205</f>
        <v>19.0854870775348</v>
      </c>
      <c r="N205" s="45" t="n">
        <v>1809729</v>
      </c>
      <c r="O205" s="45" t="n">
        <v>455898</v>
      </c>
      <c r="P205" s="45" t="n">
        <v>72639</v>
      </c>
      <c r="Q205" s="45" t="n">
        <v>2515</v>
      </c>
      <c r="R205" s="46" t="n">
        <v>0.811</v>
      </c>
      <c r="S205" s="46" t="n">
        <v>0.029</v>
      </c>
      <c r="T205" s="44" t="s">
        <v>34</v>
      </c>
      <c r="U205" s="46" t="n">
        <v>0.9063</v>
      </c>
      <c r="V205" s="90" t="s">
        <v>139</v>
      </c>
      <c r="W205" s="72" t="s">
        <v>67</v>
      </c>
      <c r="X205" s="72" t="s">
        <v>68</v>
      </c>
      <c r="Y205" s="73"/>
      <c r="Z205" s="78"/>
      <c r="AA205" s="117" t="s">
        <v>221</v>
      </c>
    </row>
    <row r="206" customFormat="false" ht="18.9" hidden="false" customHeight="true" outlineLevel="0" collapsed="false">
      <c r="A206" s="44" t="s">
        <v>32</v>
      </c>
      <c r="B206" s="45" t="n">
        <v>20000</v>
      </c>
      <c r="C206" s="45" t="n">
        <v>23000</v>
      </c>
      <c r="D206" s="44" t="s">
        <v>36</v>
      </c>
      <c r="E206" s="45" t="str">
        <f aca="false" t="array" ref="E206:E206">IF(F206&gt;100,"T1",IF(F206&gt;50,"T2",IF(F206&gt;10,"T3",IF(F206&gt;1,"T4",IF(F206=0,"TBD","T5")))))</f>
        <v>T3</v>
      </c>
      <c r="F206" s="45" t="n">
        <v>10.4</v>
      </c>
      <c r="G206" s="46" t="n">
        <v>0.601</v>
      </c>
      <c r="H206" s="46" t="n">
        <v>0.028</v>
      </c>
      <c r="I206" s="46" t="n">
        <v>0.9677</v>
      </c>
      <c r="J206" s="46" t="n">
        <f aca="false" t="array" ref="J206:J206">O206/N206</f>
        <v>0.240009222256379</v>
      </c>
      <c r="K206" s="48" t="n">
        <f aca="false" t="array" ref="K206:K206">C206/O206</f>
        <v>2.45490447219554</v>
      </c>
      <c r="L206" s="48" t="n">
        <f aca="false" t="array" ref="L206:L206">C206/P206</f>
        <v>20.0698080279232</v>
      </c>
      <c r="M206" s="49" t="n">
        <f aca="false" t="array" ref="M206:M206">C206/Q206</f>
        <v>255.555555555556</v>
      </c>
      <c r="N206" s="45" t="n">
        <v>39036</v>
      </c>
      <c r="O206" s="45" t="n">
        <v>9369</v>
      </c>
      <c r="P206" s="45" t="n">
        <v>1146</v>
      </c>
      <c r="Q206" s="45" t="n">
        <v>90</v>
      </c>
      <c r="R206" s="46" t="n">
        <v>0.819</v>
      </c>
      <c r="S206" s="46" t="n">
        <v>0.02</v>
      </c>
      <c r="T206" s="44" t="s">
        <v>34</v>
      </c>
      <c r="U206" s="46" t="n">
        <v>0.4782</v>
      </c>
      <c r="V206" s="77"/>
      <c r="W206" s="73"/>
      <c r="X206" s="73"/>
      <c r="Y206" s="73"/>
      <c r="Z206" s="73"/>
      <c r="AA206" s="105" t="s">
        <v>107</v>
      </c>
    </row>
    <row r="207" customFormat="false" ht="18.9" hidden="false" customHeight="true" outlineLevel="0" collapsed="false">
      <c r="A207" s="52" t="s">
        <v>32</v>
      </c>
      <c r="B207" s="53" t="n">
        <v>20000</v>
      </c>
      <c r="C207" s="53" t="n">
        <v>25000</v>
      </c>
      <c r="D207" s="52" t="s">
        <v>36</v>
      </c>
      <c r="E207" s="53" t="str">
        <f aca="false" t="array" ref="E207:E207">IF(F207&gt;100,"T1",IF(F207&gt;50,"T2",IF(F207&gt;10,"T3",IF(F207&gt;1,"T4",IF(F207=0,"TBD","T5")))))</f>
        <v>T3</v>
      </c>
      <c r="F207" s="53" t="n">
        <v>15.1</v>
      </c>
      <c r="G207" s="54" t="n">
        <v>0.413</v>
      </c>
      <c r="H207" s="54" t="n">
        <v>0.055</v>
      </c>
      <c r="I207" s="54" t="n">
        <v>0.9295</v>
      </c>
      <c r="J207" s="54" t="n">
        <f aca="false" t="array" ref="J207:J207">O207/N207</f>
        <v>0.331914436972385</v>
      </c>
      <c r="K207" s="56" t="n">
        <f aca="false" t="array" ref="K207:K207">C207/O207</f>
        <v>2.69425584653519</v>
      </c>
      <c r="L207" s="56" t="n">
        <f aca="false" t="array" ref="L207:L207">C207/P207</f>
        <v>12.7032520325203</v>
      </c>
      <c r="M207" s="57" t="e">
        <f aca="false" t="array" ref="M207:M207">C207/Q207</f>
        <v>#VALUE!</v>
      </c>
      <c r="N207" s="53" t="n">
        <v>27956</v>
      </c>
      <c r="O207" s="53" t="n">
        <v>9279</v>
      </c>
      <c r="P207" s="53" t="n">
        <v>1968</v>
      </c>
      <c r="Q207" s="52" t="s">
        <v>34</v>
      </c>
      <c r="R207" s="54" t="n">
        <v>0.899</v>
      </c>
      <c r="S207" s="54" t="n">
        <v>0.079</v>
      </c>
      <c r="T207" s="54" t="n">
        <v>0.0442</v>
      </c>
      <c r="U207" s="54" t="n">
        <v>0.6235</v>
      </c>
      <c r="V207" s="107"/>
      <c r="W207" s="92"/>
      <c r="X207" s="92"/>
      <c r="Y207" s="92"/>
      <c r="Z207" s="108"/>
      <c r="AA207" s="118" t="s">
        <v>219</v>
      </c>
    </row>
    <row r="208" customFormat="false" ht="18" hidden="false" customHeight="true" outlineLevel="0" collapsed="false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4"/>
      <c r="W208" s="33"/>
      <c r="X208" s="33"/>
      <c r="Y208" s="33"/>
      <c r="Z208" s="33"/>
      <c r="AA208" s="34"/>
    </row>
    <row r="209" customFormat="false" ht="18.9" hidden="false" customHeight="true" outlineLevel="0" collapsed="false">
      <c r="A209" s="35" t="s">
        <v>32</v>
      </c>
      <c r="B209" s="36" t="n">
        <v>3000</v>
      </c>
      <c r="C209" s="36" t="n">
        <v>3000</v>
      </c>
      <c r="D209" s="35" t="s">
        <v>33</v>
      </c>
      <c r="E209" s="36" t="str">
        <f aca="false" t="array" ref="E209:E209">IF(F209&gt;100,"T1",IF(F209&gt;50,"T2",IF(F209&gt;10,"T3",IF(F209&gt;1,"T4",IF(F209=0,"TBD","T5")))))</f>
        <v>T4</v>
      </c>
      <c r="F209" s="36" t="n">
        <v>3.4</v>
      </c>
      <c r="G209" s="37" t="n">
        <v>0.298</v>
      </c>
      <c r="H209" s="37" t="n">
        <v>0.045</v>
      </c>
      <c r="I209" s="37" t="n">
        <v>0.9451</v>
      </c>
      <c r="J209" s="37" t="n">
        <f aca="false" t="array" ref="J209:J209">O209/N209</f>
        <v>0.321189279731993</v>
      </c>
      <c r="K209" s="39" t="n">
        <f aca="false" t="array" ref="K209:K209">B209/O209</f>
        <v>1.95567144719687</v>
      </c>
      <c r="L209" s="39" t="n">
        <f aca="false" t="array" ref="L209:L209">B209/P209</f>
        <v>9.14634146341463</v>
      </c>
      <c r="M209" s="40" t="n">
        <f aca="false" t="array" ref="M209:M209">B209/Q209</f>
        <v>187.5</v>
      </c>
      <c r="N209" s="40" t="n">
        <v>4776</v>
      </c>
      <c r="O209" s="36" t="n">
        <v>1534</v>
      </c>
      <c r="P209" s="36" t="n">
        <v>328</v>
      </c>
      <c r="Q209" s="36" t="n">
        <v>16</v>
      </c>
      <c r="R209" s="37" t="n">
        <v>0.826</v>
      </c>
      <c r="S209" s="37" t="n">
        <v>0.036</v>
      </c>
      <c r="T209" s="37" t="n">
        <v>0.1805</v>
      </c>
      <c r="U209" s="35" t="s">
        <v>34</v>
      </c>
      <c r="V209" s="41"/>
      <c r="W209" s="36"/>
      <c r="X209" s="36"/>
      <c r="Y209" s="36"/>
      <c r="Z209" s="42"/>
      <c r="AA209" s="79" t="s">
        <v>224</v>
      </c>
    </row>
    <row r="210" customFormat="false" ht="18.9" hidden="false" customHeight="true" outlineLevel="0" collapsed="false">
      <c r="A210" s="44" t="s">
        <v>32</v>
      </c>
      <c r="B210" s="45" t="n">
        <v>5000</v>
      </c>
      <c r="C210" s="45" t="n">
        <v>4000</v>
      </c>
      <c r="D210" s="44" t="s">
        <v>33</v>
      </c>
      <c r="E210" s="45" t="str">
        <f aca="false" t="array" ref="E210:E210">IF(F210&gt;100,"T1",IF(F210&gt;50,"T2",IF(F210&gt;10,"T3",IF(F210&gt;1,"T4",IF(F210=0,"TBD","T5")))))</f>
        <v>T4</v>
      </c>
      <c r="F210" s="45" t="n">
        <v>5.3</v>
      </c>
      <c r="G210" s="46" t="n">
        <v>0.373</v>
      </c>
      <c r="H210" s="46" t="n">
        <v>0.049</v>
      </c>
      <c r="I210" s="46" t="n">
        <v>0.9351</v>
      </c>
      <c r="J210" s="46" t="n">
        <f aca="false" t="array" ref="J210:J210">O210/N210</f>
        <v>0.139575749968621</v>
      </c>
      <c r="K210" s="48" t="n">
        <f aca="false" t="array" ref="K210:K210">B210/O210</f>
        <v>4.49640287769784</v>
      </c>
      <c r="L210" s="48" t="n">
        <f aca="false" t="array" ref="L210:L210">B210/P210</f>
        <v>19.0839694656489</v>
      </c>
      <c r="M210" s="49" t="n">
        <f aca="false" t="array" ref="M210:M210">B210/Q210</f>
        <v>142.857142857143</v>
      </c>
      <c r="N210" s="49" t="n">
        <v>7967</v>
      </c>
      <c r="O210" s="49" t="n">
        <v>1112</v>
      </c>
      <c r="P210" s="45" t="n">
        <v>262</v>
      </c>
      <c r="Q210" s="45" t="n">
        <v>35</v>
      </c>
      <c r="R210" s="46" t="n">
        <v>0.921</v>
      </c>
      <c r="S210" s="46" t="n">
        <v>0.036</v>
      </c>
      <c r="T210" s="46" t="n">
        <v>0.2589</v>
      </c>
      <c r="U210" s="44" t="s">
        <v>34</v>
      </c>
      <c r="V210" s="50"/>
      <c r="W210" s="45"/>
      <c r="X210" s="45"/>
      <c r="Y210" s="45"/>
      <c r="Z210" s="51"/>
      <c r="AA210" s="79" t="s">
        <v>225</v>
      </c>
    </row>
    <row r="211" customFormat="false" ht="18.9" hidden="false" customHeight="true" outlineLevel="0" collapsed="false">
      <c r="A211" s="44" t="s">
        <v>32</v>
      </c>
      <c r="B211" s="45" t="n">
        <v>3600</v>
      </c>
      <c r="C211" s="45" t="n">
        <v>3500</v>
      </c>
      <c r="D211" s="44" t="s">
        <v>33</v>
      </c>
      <c r="E211" s="45" t="str">
        <f aca="false" t="array" ref="E211:E211">IF(F211&gt;100,"T1",IF(F211&gt;50,"T2",IF(F211&gt;10,"T3",IF(F211&gt;1,"T4",IF(F211=0,"TBD","T5")))))</f>
        <v>T4</v>
      </c>
      <c r="F211" s="45" t="n">
        <v>2.9</v>
      </c>
      <c r="G211" s="46" t="n">
        <v>0.404</v>
      </c>
      <c r="H211" s="46" t="n">
        <v>0.031</v>
      </c>
      <c r="I211" s="46" t="n">
        <v>0.9643</v>
      </c>
      <c r="J211" s="46" t="n">
        <f aca="false" t="array" ref="J211:J211">O211/N211</f>
        <v>0.0524678556615512</v>
      </c>
      <c r="K211" s="48" t="n">
        <f aca="false" t="array" ref="K211:K211">B211/O211</f>
        <v>14.2292490118577</v>
      </c>
      <c r="L211" s="48" t="n">
        <f aca="false" t="array" ref="L211:L211">B211/P211</f>
        <v>59.0163934426229</v>
      </c>
      <c r="M211" s="49" t="n">
        <f aca="false" t="array" ref="M211:M211">B211/Q211</f>
        <v>44.4444444444444</v>
      </c>
      <c r="N211" s="49" t="n">
        <v>4822</v>
      </c>
      <c r="O211" s="45" t="n">
        <v>253</v>
      </c>
      <c r="P211" s="45" t="n">
        <v>61</v>
      </c>
      <c r="Q211" s="45" t="n">
        <v>81</v>
      </c>
      <c r="R211" s="46" t="n">
        <v>0.554</v>
      </c>
      <c r="S211" s="46" t="n">
        <v>0.052</v>
      </c>
      <c r="T211" s="46" t="n">
        <v>0.3518</v>
      </c>
      <c r="U211" s="44" t="s">
        <v>34</v>
      </c>
      <c r="V211" s="50"/>
      <c r="W211" s="45"/>
      <c r="X211" s="45"/>
      <c r="Y211" s="45"/>
      <c r="Z211" s="51"/>
      <c r="AA211" s="79" t="s">
        <v>226</v>
      </c>
    </row>
    <row r="212" customFormat="false" ht="18.9" hidden="false" customHeight="true" outlineLevel="0" collapsed="false">
      <c r="A212" s="44" t="s">
        <v>32</v>
      </c>
      <c r="B212" s="45" t="n">
        <v>5900</v>
      </c>
      <c r="C212" s="45" t="n">
        <v>6200</v>
      </c>
      <c r="D212" s="44" t="s">
        <v>33</v>
      </c>
      <c r="E212" s="45" t="str">
        <f aca="false" t="array" ref="E212:E212">IF(F212&gt;100,"T1",IF(F212&gt;50,"T2",IF(F212&gt;10,"T3",IF(F212&gt;1,"T4",IF(F212=0,"TBD","T5")))))</f>
        <v>T4</v>
      </c>
      <c r="F212" s="45" t="n">
        <v>5.4</v>
      </c>
      <c r="G212" s="46" t="n">
        <v>0.41</v>
      </c>
      <c r="H212" s="46" t="n">
        <v>0.03</v>
      </c>
      <c r="I212" s="46" t="n">
        <v>0.9571</v>
      </c>
      <c r="J212" s="46" t="n">
        <f aca="false" t="array" ref="J212:J212">O212/N212</f>
        <v>0.154387115580819</v>
      </c>
      <c r="K212" s="48" t="n">
        <f aca="false" t="array" ref="K212:K212">B212/O212</f>
        <v>1.3924946896389</v>
      </c>
      <c r="L212" s="48" t="n">
        <f aca="false" t="array" ref="L212:L212">B212/P212</f>
        <v>10.5357142857143</v>
      </c>
      <c r="M212" s="49" t="n">
        <f aca="false" t="array" ref="M212:M212">B212/Q212</f>
        <v>22.0149253731343</v>
      </c>
      <c r="N212" s="49" t="n">
        <v>27444</v>
      </c>
      <c r="O212" s="49" t="n">
        <v>4237</v>
      </c>
      <c r="P212" s="45" t="n">
        <v>560</v>
      </c>
      <c r="Q212" s="45" t="n">
        <v>268</v>
      </c>
      <c r="R212" s="46" t="n">
        <v>0.756</v>
      </c>
      <c r="S212" s="46" t="n">
        <v>0.053</v>
      </c>
      <c r="T212" s="46" t="n">
        <v>0.3063</v>
      </c>
      <c r="U212" s="44" t="s">
        <v>34</v>
      </c>
      <c r="V212" s="62" t="s">
        <v>39</v>
      </c>
      <c r="W212" s="44" t="s">
        <v>40</v>
      </c>
      <c r="X212" s="44" t="s">
        <v>172</v>
      </c>
      <c r="Y212" s="44" t="s">
        <v>173</v>
      </c>
      <c r="Z212" s="51"/>
      <c r="AA212" s="79" t="s">
        <v>227</v>
      </c>
    </row>
    <row r="213" customFormat="false" ht="18.9" hidden="false" customHeight="true" outlineLevel="0" collapsed="false">
      <c r="A213" s="44" t="s">
        <v>32</v>
      </c>
      <c r="B213" s="45" t="n">
        <v>3200</v>
      </c>
      <c r="C213" s="44" t="s">
        <v>38</v>
      </c>
      <c r="D213" s="44" t="s">
        <v>33</v>
      </c>
      <c r="E213" s="45" t="str">
        <f aca="false" t="array" ref="E213:E213">IF(F213&gt;100,"T1",IF(F213&gt;50,"T2",IF(F213&gt;10,"T3",IF(F213&gt;1,"T4",IF(F213=0,"TBD","T5")))))</f>
        <v>T4</v>
      </c>
      <c r="F213" s="45" t="n">
        <v>2.8</v>
      </c>
      <c r="G213" s="46" t="n">
        <v>0.258</v>
      </c>
      <c r="H213" s="46" t="n">
        <v>0.078</v>
      </c>
      <c r="I213" s="46" t="n">
        <v>0.8887</v>
      </c>
      <c r="J213" s="46" t="n">
        <f aca="false" t="array" ref="J213:J213">O213/N213</f>
        <v>0.292172075911558</v>
      </c>
      <c r="K213" s="48" t="n">
        <f aca="false" t="array" ref="K213:K213">B213/O213</f>
        <v>0.398952749033786</v>
      </c>
      <c r="L213" s="48" t="n">
        <f aca="false" t="array" ref="L213:L213">B213/P213</f>
        <v>4.45682451253482</v>
      </c>
      <c r="M213" s="49" t="n">
        <f aca="false" t="array" ref="M213:M213">B213/Q213</f>
        <v>38.0952380952381</v>
      </c>
      <c r="N213" s="49" t="n">
        <v>27453</v>
      </c>
      <c r="O213" s="45" t="n">
        <v>8021</v>
      </c>
      <c r="P213" s="45" t="n">
        <v>718</v>
      </c>
      <c r="Q213" s="45" t="n">
        <v>84</v>
      </c>
      <c r="R213" s="46" t="n">
        <v>0.874</v>
      </c>
      <c r="S213" s="46" t="n">
        <v>0.015</v>
      </c>
      <c r="T213" s="46" t="n">
        <v>0.2365</v>
      </c>
      <c r="U213" s="44" t="s">
        <v>34</v>
      </c>
      <c r="V213" s="50"/>
      <c r="W213" s="45"/>
      <c r="X213" s="45"/>
      <c r="Y213" s="45"/>
      <c r="Z213" s="51"/>
      <c r="AA213" s="79" t="s">
        <v>228</v>
      </c>
    </row>
    <row r="214" customFormat="false" ht="18.9" hidden="false" customHeight="true" outlineLevel="0" collapsed="false">
      <c r="A214" s="44" t="s">
        <v>32</v>
      </c>
      <c r="B214" s="45" t="n">
        <v>3000</v>
      </c>
      <c r="C214" s="45" t="n">
        <v>3000</v>
      </c>
      <c r="D214" s="44" t="s">
        <v>33</v>
      </c>
      <c r="E214" s="45" t="str">
        <f aca="false" t="array" ref="E214:E214">IF(F214&gt;100,"T1",IF(F214&gt;50,"T2",IF(F214&gt;10,"T3",IF(F214&gt;1,"T4",IF(F214=0,"TBD","T5")))))</f>
        <v>T4</v>
      </c>
      <c r="F214" s="45" t="n">
        <v>3.1</v>
      </c>
      <c r="G214" s="46" t="n">
        <v>0.211</v>
      </c>
      <c r="H214" s="46" t="n">
        <v>0.043</v>
      </c>
      <c r="I214" s="46" t="n">
        <v>0.9101</v>
      </c>
      <c r="J214" s="46" t="n">
        <f aca="false" t="array" ref="J214:J214">O214/N214</f>
        <v>0.433265582655827</v>
      </c>
      <c r="K214" s="48" t="n">
        <f aca="false" t="array" ref="K214:K214">B214/O214</f>
        <v>0.781860828772478</v>
      </c>
      <c r="L214" s="48" t="n">
        <f aca="false" t="array" ref="L214:L214">B214/P214</f>
        <v>6.80272108843537</v>
      </c>
      <c r="M214" s="49" t="n">
        <f aca="false" t="array" ref="M214:M214">B214/Q214</f>
        <v>29.4117647058823</v>
      </c>
      <c r="N214" s="49" t="n">
        <v>8856</v>
      </c>
      <c r="O214" s="45" t="n">
        <v>3837</v>
      </c>
      <c r="P214" s="45" t="n">
        <v>441</v>
      </c>
      <c r="Q214" s="45" t="n">
        <v>102</v>
      </c>
      <c r="R214" s="46" t="n">
        <v>0.797</v>
      </c>
      <c r="S214" s="46" t="n">
        <v>0.006</v>
      </c>
      <c r="T214" s="46" t="n">
        <v>0.2613</v>
      </c>
      <c r="U214" s="44" t="s">
        <v>34</v>
      </c>
      <c r="V214" s="50"/>
      <c r="W214" s="45"/>
      <c r="X214" s="45"/>
      <c r="Y214" s="45"/>
      <c r="Z214" s="51"/>
      <c r="AA214" s="79" t="s">
        <v>228</v>
      </c>
    </row>
    <row r="215" customFormat="false" ht="18.9" hidden="false" customHeight="true" outlineLevel="0" collapsed="false">
      <c r="A215" s="44" t="s">
        <v>32</v>
      </c>
      <c r="B215" s="45" t="n">
        <v>2000</v>
      </c>
      <c r="C215" s="45" t="n">
        <v>2600</v>
      </c>
      <c r="D215" s="44" t="s">
        <v>33</v>
      </c>
      <c r="E215" s="45" t="str">
        <f aca="false" t="array" ref="E215:E215">IF(F215&gt;100,"T1",IF(F215&gt;50,"T2",IF(F215&gt;10,"T3",IF(F215&gt;1,"T4",IF(F215=0,"TBD","T5")))))</f>
        <v>T4</v>
      </c>
      <c r="F215" s="45" t="n">
        <v>2.5</v>
      </c>
      <c r="G215" s="46" t="n">
        <v>0.383</v>
      </c>
      <c r="H215" s="46" t="n">
        <v>0.038</v>
      </c>
      <c r="I215" s="46" t="n">
        <v>0.9351</v>
      </c>
      <c r="J215" s="46" t="n">
        <f aca="false" t="array" ref="J215:J215">O215/N215</f>
        <v>0.354504384799362</v>
      </c>
      <c r="K215" s="48" t="n">
        <f aca="false" t="array" ref="K215:K215">B215/O215</f>
        <v>1.49925037481259</v>
      </c>
      <c r="L215" s="48" t="n">
        <f aca="false" t="array" ref="L215:L215">B215/P215</f>
        <v>17.6991150442478</v>
      </c>
      <c r="M215" s="49" t="n">
        <f aca="false" t="array" ref="M215:M215">B215/Q215</f>
        <v>66.6666666666667</v>
      </c>
      <c r="N215" s="49" t="n">
        <v>3763</v>
      </c>
      <c r="O215" s="49" t="n">
        <v>1334</v>
      </c>
      <c r="P215" s="45" t="n">
        <v>113</v>
      </c>
      <c r="Q215" s="45" t="n">
        <v>30</v>
      </c>
      <c r="R215" s="46" t="n">
        <v>0.889</v>
      </c>
      <c r="S215" s="46" t="n">
        <v>0.028</v>
      </c>
      <c r="T215" s="46" t="n">
        <v>0.2547</v>
      </c>
      <c r="U215" s="44" t="s">
        <v>34</v>
      </c>
      <c r="V215" s="50"/>
      <c r="W215" s="45"/>
      <c r="X215" s="45"/>
      <c r="Y215" s="45"/>
      <c r="Z215" s="51"/>
      <c r="AA215" s="79" t="s">
        <v>228</v>
      </c>
    </row>
    <row r="216" customFormat="false" ht="18.9" hidden="false" customHeight="true" outlineLevel="0" collapsed="false">
      <c r="A216" s="44" t="s">
        <v>32</v>
      </c>
      <c r="B216" s="45" t="n">
        <v>19600</v>
      </c>
      <c r="C216" s="44" t="s">
        <v>38</v>
      </c>
      <c r="D216" s="44" t="s">
        <v>33</v>
      </c>
      <c r="E216" s="45" t="str">
        <f aca="false" t="array" ref="E216:E216">IF(F216&gt;100,"T1",IF(F216&gt;50,"T2",IF(F216&gt;10,"T3",IF(F216&gt;1,"T4",IF(F216=0,"TBD","T5")))))</f>
        <v>T3</v>
      </c>
      <c r="F216" s="45" t="n">
        <v>17.1</v>
      </c>
      <c r="G216" s="46" t="n">
        <v>0.324</v>
      </c>
      <c r="H216" s="46" t="n">
        <v>0.035</v>
      </c>
      <c r="I216" s="46" t="n">
        <v>0.9585</v>
      </c>
      <c r="J216" s="46" t="n">
        <f aca="false" t="array" ref="J216:J216">O216/N216</f>
        <v>0.0845468257232963</v>
      </c>
      <c r="K216" s="48" t="n">
        <f aca="false" t="array" ref="K216:K216">B216/O216</f>
        <v>3.17872202400259</v>
      </c>
      <c r="L216" s="48" t="n">
        <f aca="false" t="array" ref="L216:L216">B216/P216</f>
        <v>33.6192109777015</v>
      </c>
      <c r="M216" s="49" t="n">
        <f aca="false" t="array" ref="M216:M216">B216/Q216</f>
        <v>19.959266802444</v>
      </c>
      <c r="N216" s="49" t="n">
        <v>72930</v>
      </c>
      <c r="O216" s="45" t="n">
        <v>6166</v>
      </c>
      <c r="P216" s="45" t="n">
        <v>583</v>
      </c>
      <c r="Q216" s="45" t="n">
        <v>982</v>
      </c>
      <c r="R216" s="46" t="n">
        <v>0.858</v>
      </c>
      <c r="S216" s="46" t="n">
        <v>0.042</v>
      </c>
      <c r="T216" s="46" t="n">
        <v>0.2599</v>
      </c>
      <c r="U216" s="44" t="s">
        <v>34</v>
      </c>
      <c r="V216" s="50"/>
      <c r="W216" s="45"/>
      <c r="X216" s="45"/>
      <c r="Y216" s="45"/>
      <c r="Z216" s="51"/>
      <c r="AA216" s="79" t="s">
        <v>229</v>
      </c>
    </row>
    <row r="217" customFormat="false" ht="18.9" hidden="false" customHeight="true" outlineLevel="0" collapsed="false">
      <c r="A217" s="44" t="s">
        <v>32</v>
      </c>
      <c r="B217" s="45" t="n">
        <v>4200</v>
      </c>
      <c r="C217" s="45" t="n">
        <v>4500</v>
      </c>
      <c r="D217" s="44" t="s">
        <v>33</v>
      </c>
      <c r="E217" s="45" t="str">
        <f aca="false" t="array" ref="E217:E217">IF(F217&gt;100,"T1",IF(F217&gt;50,"T2",IF(F217&gt;10,"T3",IF(F217&gt;1,"T4",IF(F217=0,"TBD","T5")))))</f>
        <v>T4</v>
      </c>
      <c r="F217" s="45" t="n">
        <v>4.1</v>
      </c>
      <c r="G217" s="46" t="n">
        <v>0.36</v>
      </c>
      <c r="H217" s="46" t="n">
        <v>0.042</v>
      </c>
      <c r="I217" s="46" t="n">
        <v>0.9329</v>
      </c>
      <c r="J217" s="46" t="n">
        <f aca="false" t="array" ref="J217:J217">O217/N217</f>
        <v>0.19034620505992</v>
      </c>
      <c r="K217" s="48" t="n">
        <f aca="false" t="array" ref="K217:K217">B217/O217</f>
        <v>0.734522560335782</v>
      </c>
      <c r="L217" s="48" t="n">
        <f aca="false" t="array" ref="L217:L217">B217/P217</f>
        <v>19.9052132701422</v>
      </c>
      <c r="M217" s="49" t="n">
        <f aca="false" t="array" ref="M217:M217">B217/Q217</f>
        <v>45.6521739130435</v>
      </c>
      <c r="N217" s="49" t="n">
        <v>30040</v>
      </c>
      <c r="O217" s="45" t="n">
        <v>5718</v>
      </c>
      <c r="P217" s="45" t="n">
        <v>211</v>
      </c>
      <c r="Q217" s="45" t="n">
        <v>92</v>
      </c>
      <c r="R217" s="46" t="n">
        <v>0.922</v>
      </c>
      <c r="S217" s="46" t="n">
        <v>0.029</v>
      </c>
      <c r="T217" s="46" t="n">
        <v>0.4096</v>
      </c>
      <c r="U217" s="44" t="s">
        <v>34</v>
      </c>
      <c r="V217" s="50"/>
      <c r="W217" s="45"/>
      <c r="X217" s="45"/>
      <c r="Y217" s="45"/>
      <c r="Z217" s="51"/>
      <c r="AA217" s="79" t="s">
        <v>228</v>
      </c>
    </row>
    <row r="218" customFormat="false" ht="18.9" hidden="false" customHeight="true" outlineLevel="0" collapsed="false">
      <c r="A218" s="44" t="s">
        <v>32</v>
      </c>
      <c r="B218" s="45" t="n">
        <v>8300</v>
      </c>
      <c r="C218" s="45" t="n">
        <v>9000</v>
      </c>
      <c r="D218" s="44" t="s">
        <v>33</v>
      </c>
      <c r="E218" s="45" t="str">
        <f aca="false" t="array" ref="E218:E218">IF(F218&gt;100,"T1",IF(F218&gt;50,"T2",IF(F218&gt;10,"T3",IF(F218&gt;1,"T4",IF(F218=0,"TBD","T5")))))</f>
        <v>T3</v>
      </c>
      <c r="F218" s="45" t="n">
        <v>11.5</v>
      </c>
      <c r="G218" s="46" t="n">
        <v>0.373</v>
      </c>
      <c r="H218" s="46" t="n">
        <v>0.036</v>
      </c>
      <c r="I218" s="46" t="n">
        <v>0.9637</v>
      </c>
      <c r="J218" s="46" t="n">
        <f aca="false" t="array" ref="J218:J218">O218/N218</f>
        <v>0.0947745269209742</v>
      </c>
      <c r="K218" s="48" t="n">
        <f aca="false" t="array" ref="K218:K218">B218/O218</f>
        <v>1.54447339039821</v>
      </c>
      <c r="L218" s="48" t="n">
        <f aca="false" t="array" ref="L218:L218">B218/P218</f>
        <v>14.0202702702703</v>
      </c>
      <c r="M218" s="49" t="n">
        <f aca="false" t="array" ref="M218:M218">B218/Q218</f>
        <v>48.5380116959064</v>
      </c>
      <c r="N218" s="49" t="n">
        <v>56703</v>
      </c>
      <c r="O218" s="45" t="n">
        <v>5374</v>
      </c>
      <c r="P218" s="45" t="n">
        <v>592</v>
      </c>
      <c r="Q218" s="45" t="n">
        <v>171</v>
      </c>
      <c r="R218" s="46" t="n">
        <v>0.646</v>
      </c>
      <c r="S218" s="46" t="n">
        <v>0.032</v>
      </c>
      <c r="T218" s="46" t="n">
        <v>0.2994</v>
      </c>
      <c r="U218" s="44" t="s">
        <v>34</v>
      </c>
      <c r="V218" s="50"/>
      <c r="W218" s="45"/>
      <c r="X218" s="45"/>
      <c r="Y218" s="45"/>
      <c r="Z218" s="51"/>
      <c r="AA218" s="79" t="s">
        <v>230</v>
      </c>
    </row>
    <row r="219" customFormat="false" ht="18.9" hidden="false" customHeight="true" outlineLevel="0" collapsed="false">
      <c r="A219" s="44" t="s">
        <v>32</v>
      </c>
      <c r="B219" s="45" t="n">
        <v>9500</v>
      </c>
      <c r="C219" s="45" t="n">
        <v>9600</v>
      </c>
      <c r="D219" s="44" t="s">
        <v>33</v>
      </c>
      <c r="E219" s="45" t="str">
        <f aca="false" t="array" ref="E219:E219">IF(F219&gt;100,"T1",IF(F219&gt;50,"T2",IF(F219&gt;10,"T3",IF(F219&gt;1,"T4",IF(F219=0,"TBD","T5")))))</f>
        <v>T4</v>
      </c>
      <c r="F219" s="45" t="n">
        <v>2.9</v>
      </c>
      <c r="G219" s="46" t="n">
        <v>0.195</v>
      </c>
      <c r="H219" s="46" t="n">
        <v>0.075</v>
      </c>
      <c r="I219" s="46" t="n">
        <v>0.9185</v>
      </c>
      <c r="J219" s="46" t="n">
        <f aca="false" t="array" ref="J219:J219">O219/N219</f>
        <v>0.19577831132453</v>
      </c>
      <c r="K219" s="48" t="n">
        <f aca="false" t="array" ref="K219:K219">C219/O219</f>
        <v>0.54505195026401</v>
      </c>
      <c r="L219" s="48" t="n">
        <f aca="false" t="array" ref="L219:L219">C219/P219</f>
        <v>7.63116057233704</v>
      </c>
      <c r="M219" s="49" t="n">
        <f aca="false" t="array" ref="M219:M219">C219/Q219</f>
        <v>10.0840336134454</v>
      </c>
      <c r="N219" s="49" t="n">
        <v>89964</v>
      </c>
      <c r="O219" s="49" t="n">
        <v>17613</v>
      </c>
      <c r="P219" s="45" t="n">
        <v>1258</v>
      </c>
      <c r="Q219" s="45" t="n">
        <v>952</v>
      </c>
      <c r="R219" s="46" t="n">
        <v>0.892</v>
      </c>
      <c r="S219" s="46" t="n">
        <v>0.003</v>
      </c>
      <c r="T219" s="44" t="s">
        <v>34</v>
      </c>
      <c r="U219" s="46" t="n">
        <v>0.2378</v>
      </c>
      <c r="V219" s="62" t="s">
        <v>39</v>
      </c>
      <c r="W219" s="44" t="s">
        <v>40</v>
      </c>
      <c r="X219" s="44" t="s">
        <v>172</v>
      </c>
      <c r="Y219" s="44" t="s">
        <v>173</v>
      </c>
      <c r="Z219" s="121" t="s">
        <v>231</v>
      </c>
      <c r="AA219" s="79" t="s">
        <v>232</v>
      </c>
    </row>
    <row r="220" customFormat="false" ht="18.9" hidden="false" customHeight="true" outlineLevel="0" collapsed="false">
      <c r="A220" s="44" t="s">
        <v>32</v>
      </c>
      <c r="B220" s="45" t="n">
        <v>4500</v>
      </c>
      <c r="C220" s="45" t="n">
        <v>5800</v>
      </c>
      <c r="D220" s="44" t="s">
        <v>33</v>
      </c>
      <c r="E220" s="45" t="str">
        <f aca="false" t="array" ref="E220:E220">IF(F220&gt;100,"T1",IF(F220&gt;50,"T2",IF(F220&gt;10,"T3",IF(F220&gt;1,"T4",IF(F220=0,"TBD","T5")))))</f>
        <v>T4</v>
      </c>
      <c r="F220" s="45" t="n">
        <v>2.1</v>
      </c>
      <c r="G220" s="46" t="n">
        <v>0.133</v>
      </c>
      <c r="H220" s="46" t="n">
        <v>0.047</v>
      </c>
      <c r="I220" s="46" t="n">
        <v>0.9069</v>
      </c>
      <c r="J220" s="46" t="n">
        <f aca="false" t="array" ref="J220:J220">O220/N220</f>
        <v>0.132491186839013</v>
      </c>
      <c r="K220" s="48" t="n">
        <f aca="false" t="array" ref="K220:K220">C220/O220</f>
        <v>6.43015521064302</v>
      </c>
      <c r="L220" s="48" t="n">
        <f aca="false" t="array" ref="L220:L220">C220/P220</f>
        <v>29.8969072164948</v>
      </c>
      <c r="M220" s="49" t="n">
        <f aca="false" t="array" ref="M220:M220">C220/Q220</f>
        <v>19.5945945945946</v>
      </c>
      <c r="N220" s="49" t="n">
        <v>6808</v>
      </c>
      <c r="O220" s="49" t="n">
        <v>902</v>
      </c>
      <c r="P220" s="45" t="n">
        <v>194</v>
      </c>
      <c r="Q220" s="45" t="n">
        <v>296</v>
      </c>
      <c r="R220" s="46" t="n">
        <v>0.613</v>
      </c>
      <c r="S220" s="46" t="n">
        <v>0.141</v>
      </c>
      <c r="T220" s="46" t="n">
        <v>0.2409</v>
      </c>
      <c r="U220" s="46" t="n">
        <v>0.063</v>
      </c>
      <c r="V220" s="50"/>
      <c r="W220" s="45"/>
      <c r="X220" s="45"/>
      <c r="Y220" s="45"/>
      <c r="Z220" s="51"/>
      <c r="AA220" s="79" t="s">
        <v>233</v>
      </c>
    </row>
    <row r="221" customFormat="false" ht="18.9" hidden="false" customHeight="true" outlineLevel="0" collapsed="false">
      <c r="A221" s="44" t="s">
        <v>32</v>
      </c>
      <c r="B221" s="44" t="s">
        <v>38</v>
      </c>
      <c r="C221" s="45" t="n">
        <v>2900</v>
      </c>
      <c r="D221" s="44" t="s">
        <v>33</v>
      </c>
      <c r="E221" s="45" t="str">
        <f aca="false" t="array" ref="E221:E221">IF(F221&gt;100,"T1",IF(F221&gt;50,"T2",IF(F221&gt;10,"T3",IF(F221&gt;1,"T4",IF(F221=0,"TBD","T5")))))</f>
        <v>T4</v>
      </c>
      <c r="F221" s="45" t="n">
        <v>2.5</v>
      </c>
      <c r="G221" s="46" t="n">
        <v>0.414</v>
      </c>
      <c r="H221" s="46" t="n">
        <v>0.047</v>
      </c>
      <c r="I221" s="46" t="n">
        <v>0.9131</v>
      </c>
      <c r="J221" s="46" t="n">
        <f aca="false" t="array" ref="J221:J221">O221/N221</f>
        <v>0.115509009702757</v>
      </c>
      <c r="K221" s="48" t="n">
        <f aca="false" t="array" ref="K221:K221">C221/O221</f>
        <v>3.86666666666667</v>
      </c>
      <c r="L221" s="48" t="n">
        <f aca="false" t="array" ref="L221:L221">C221/P221</f>
        <v>11.5079365079365</v>
      </c>
      <c r="M221" s="49" t="n">
        <f aca="false" t="array" ref="M221:M221">C221/Q221</f>
        <v>18.125</v>
      </c>
      <c r="N221" s="49" t="n">
        <v>6493</v>
      </c>
      <c r="O221" s="49" t="n">
        <v>750</v>
      </c>
      <c r="P221" s="45" t="n">
        <v>252</v>
      </c>
      <c r="Q221" s="45" t="n">
        <v>160</v>
      </c>
      <c r="R221" s="46" t="n">
        <v>0.602</v>
      </c>
      <c r="S221" s="46" t="n">
        <v>0.183</v>
      </c>
      <c r="T221" s="44" t="s">
        <v>34</v>
      </c>
      <c r="U221" s="46" t="n">
        <v>0.1151</v>
      </c>
      <c r="V221" s="50"/>
      <c r="W221" s="45"/>
      <c r="X221" s="45"/>
      <c r="Y221" s="45"/>
      <c r="Z221" s="51"/>
      <c r="AA221" s="79" t="s">
        <v>233</v>
      </c>
    </row>
    <row r="222" customFormat="false" ht="18.9" hidden="false" customHeight="true" outlineLevel="0" collapsed="false">
      <c r="A222" s="44" t="s">
        <v>32</v>
      </c>
      <c r="B222" s="45" t="n">
        <v>6000</v>
      </c>
      <c r="C222" s="45" t="n">
        <v>8000</v>
      </c>
      <c r="D222" s="44" t="s">
        <v>33</v>
      </c>
      <c r="E222" s="45" t="str">
        <f aca="false" t="array" ref="E222:E222">IF(F222&gt;100,"T1",IF(F222&gt;50,"T2",IF(F222&gt;10,"T3",IF(F222&gt;1,"T4",IF(F222=0,"TBD","T5")))))</f>
        <v>T4</v>
      </c>
      <c r="F222" s="45" t="n">
        <v>6.5</v>
      </c>
      <c r="G222" s="46" t="n">
        <v>0.524</v>
      </c>
      <c r="H222" s="46" t="n">
        <v>0.04</v>
      </c>
      <c r="I222" s="46" t="n">
        <v>0.9688</v>
      </c>
      <c r="J222" s="46" t="n">
        <f aca="false" t="array" ref="J222:J222">O222/N222</f>
        <v>0.125206651755324</v>
      </c>
      <c r="K222" s="48" t="n">
        <f aca="false" t="array" ref="K222:K222">C222/O222</f>
        <v>3.10679611650485</v>
      </c>
      <c r="L222" s="48" t="n">
        <f aca="false" t="array" ref="L222:L222">C222/P222</f>
        <v>11.5606936416185</v>
      </c>
      <c r="M222" s="49" t="n">
        <f aca="false" t="array" ref="M222:M222">C222/Q222</f>
        <v>9.88875154511743</v>
      </c>
      <c r="N222" s="49" t="n">
        <v>20566</v>
      </c>
      <c r="O222" s="49" t="n">
        <v>2575</v>
      </c>
      <c r="P222" s="45" t="n">
        <v>692</v>
      </c>
      <c r="Q222" s="45" t="n">
        <v>809</v>
      </c>
      <c r="R222" s="46" t="n">
        <v>0.327</v>
      </c>
      <c r="S222" s="46" t="n">
        <v>0.215</v>
      </c>
      <c r="T222" s="44" t="s">
        <v>34</v>
      </c>
      <c r="U222" s="46" t="n">
        <v>0.3731</v>
      </c>
      <c r="V222" s="50"/>
      <c r="W222" s="45"/>
      <c r="X222" s="45"/>
      <c r="Y222" s="45"/>
      <c r="Z222" s="51"/>
      <c r="AA222" s="79" t="s">
        <v>226</v>
      </c>
    </row>
    <row r="223" customFormat="false" ht="18.9" hidden="false" customHeight="true" outlineLevel="0" collapsed="false">
      <c r="A223" s="52" t="s">
        <v>32</v>
      </c>
      <c r="B223" s="53" t="n">
        <v>15000</v>
      </c>
      <c r="C223" s="53" t="n">
        <v>22000</v>
      </c>
      <c r="D223" s="52" t="s">
        <v>33</v>
      </c>
      <c r="E223" s="53" t="str">
        <f aca="false" t="array" ref="E223:E223">IF(F223&gt;100,"T1",IF(F223&gt;50,"T2",IF(F223&gt;10,"T3",IF(F223&gt;1,"T4",IF(F223=0,"TBD","T5")))))</f>
        <v>T3</v>
      </c>
      <c r="F223" s="53" t="n">
        <v>21</v>
      </c>
      <c r="G223" s="54" t="n">
        <v>0.355</v>
      </c>
      <c r="H223" s="54" t="n">
        <v>0.042</v>
      </c>
      <c r="I223" s="54" t="n">
        <v>0.9672</v>
      </c>
      <c r="J223" s="54" t="n">
        <f aca="false" t="array" ref="J223:J223">O223/N223</f>
        <v>0.108846679368012</v>
      </c>
      <c r="K223" s="56" t="n">
        <f aca="false" t="array" ref="K223:K223">C223/O223</f>
        <v>3.88967468175389</v>
      </c>
      <c r="L223" s="56" t="n">
        <f aca="false" t="array" ref="L223:L223">C223/P223</f>
        <v>22.6570545829042</v>
      </c>
      <c r="M223" s="57" t="e">
        <f aca="false" t="array" ref="M223:M223">C223/Q223</f>
        <v>#VALUE!</v>
      </c>
      <c r="N223" s="57" t="n">
        <v>51963</v>
      </c>
      <c r="O223" s="57" t="n">
        <v>5656</v>
      </c>
      <c r="P223" s="53" t="n">
        <v>971</v>
      </c>
      <c r="Q223" s="52" t="s">
        <v>34</v>
      </c>
      <c r="R223" s="54" t="n">
        <v>0.954</v>
      </c>
      <c r="S223" s="54" t="n">
        <v>0.002</v>
      </c>
      <c r="T223" s="52" t="s">
        <v>34</v>
      </c>
      <c r="U223" s="54" t="n">
        <v>0.0144</v>
      </c>
      <c r="V223" s="58"/>
      <c r="W223" s="53"/>
      <c r="X223" s="53"/>
      <c r="Y223" s="53"/>
      <c r="Z223" s="59"/>
      <c r="AA223" s="79" t="s">
        <v>226</v>
      </c>
    </row>
    <row r="224" customFormat="false" ht="17.4" hidden="false" customHeight="true" outlineLevel="0" collapsed="false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4"/>
      <c r="W224" s="33"/>
      <c r="X224" s="33"/>
      <c r="Y224" s="33"/>
      <c r="Z224" s="33"/>
      <c r="AA224" s="34"/>
    </row>
    <row r="225" customFormat="false" ht="18.9" hidden="false" customHeight="true" outlineLevel="0" collapsed="false">
      <c r="A225" s="35" t="s">
        <v>32</v>
      </c>
      <c r="B225" s="36" t="n">
        <v>3500</v>
      </c>
      <c r="C225" s="36" t="n">
        <v>3800</v>
      </c>
      <c r="D225" s="35" t="s">
        <v>33</v>
      </c>
      <c r="E225" s="36" t="str">
        <f aca="false" t="array" ref="E225:E225">IF(F225&gt;100,"T1",IF(F225&gt;50,"T2",IF(F225&gt;10,"T3",IF(F225&gt;1,"T4",IF(F225=0,"TBD","T5")))))</f>
        <v>T4</v>
      </c>
      <c r="F225" s="36" t="n">
        <v>2.8</v>
      </c>
      <c r="G225" s="37" t="n">
        <v>0.301</v>
      </c>
      <c r="H225" s="37" t="n">
        <v>0.067</v>
      </c>
      <c r="I225" s="37" t="n">
        <v>0.9143</v>
      </c>
      <c r="J225" s="37" t="n">
        <f aca="false" t="array" ref="J225:J225">O225/N225</f>
        <v>0.130385806814982</v>
      </c>
      <c r="K225" s="39" t="n">
        <f aca="false" t="array" ref="K225:K225">B225/O225</f>
        <v>3.77969762419006</v>
      </c>
      <c r="L225" s="39" t="n">
        <f aca="false" t="array" ref="L225:L225">B225/P225</f>
        <v>9.64187327823692</v>
      </c>
      <c r="M225" s="40" t="n">
        <f aca="false" t="array" ref="M225:M225">B225/Q225</f>
        <v>59.3220338983051</v>
      </c>
      <c r="N225" s="40" t="n">
        <v>7102</v>
      </c>
      <c r="O225" s="40" t="n">
        <v>926</v>
      </c>
      <c r="P225" s="36" t="n">
        <v>363</v>
      </c>
      <c r="Q225" s="36" t="n">
        <v>59</v>
      </c>
      <c r="R225" s="37" t="n">
        <v>0.334</v>
      </c>
      <c r="S225" s="37" t="n">
        <v>0.217</v>
      </c>
      <c r="T225" s="37" t="n">
        <v>0.3089</v>
      </c>
      <c r="U225" s="35" t="s">
        <v>34</v>
      </c>
      <c r="V225" s="41"/>
      <c r="W225" s="36"/>
      <c r="X225" s="36"/>
      <c r="Y225" s="36"/>
      <c r="Z225" s="42"/>
      <c r="AA225" s="43" t="s">
        <v>226</v>
      </c>
    </row>
    <row r="226" customFormat="false" ht="18.9" hidden="false" customHeight="true" outlineLevel="0" collapsed="false">
      <c r="A226" s="44" t="s">
        <v>32</v>
      </c>
      <c r="B226" s="45" t="n">
        <v>5400</v>
      </c>
      <c r="C226" s="44" t="s">
        <v>38</v>
      </c>
      <c r="D226" s="44" t="s">
        <v>33</v>
      </c>
      <c r="E226" s="45" t="str">
        <f aca="false" t="array" ref="E226:E226">IF(F226&gt;100,"T1",IF(F226&gt;50,"T2",IF(F226&gt;10,"T3",IF(F226&gt;1,"T4",IF(F226=0,"TBD","T5")))))</f>
        <v>T3</v>
      </c>
      <c r="F226" s="45" t="n">
        <v>15.5</v>
      </c>
      <c r="G226" s="46" t="n">
        <v>0.307</v>
      </c>
      <c r="H226" s="46" t="n">
        <v>0.028</v>
      </c>
      <c r="I226" s="46" t="n">
        <v>0.9493</v>
      </c>
      <c r="J226" s="46" t="n">
        <f aca="false" t="array" ref="J226:J226">O226/N226</f>
        <v>0.125974499089253</v>
      </c>
      <c r="K226" s="48" t="n">
        <f aca="false" t="array" ref="K226:K226">B226/O226</f>
        <v>1.5615962984384</v>
      </c>
      <c r="L226" s="48" t="n">
        <f aca="false" t="array" ref="L226:L226">B226/P226</f>
        <v>8.95522388059701</v>
      </c>
      <c r="M226" s="49" t="n">
        <f aca="false" t="array" ref="M226:M226">B226/Q226</f>
        <v>1.68329177057357</v>
      </c>
      <c r="N226" s="49" t="n">
        <v>27450</v>
      </c>
      <c r="O226" s="49" t="n">
        <v>3458</v>
      </c>
      <c r="P226" s="45" t="n">
        <v>603</v>
      </c>
      <c r="Q226" s="45" t="n">
        <v>3208</v>
      </c>
      <c r="R226" s="46" t="n">
        <v>0.551</v>
      </c>
      <c r="S226" s="46" t="n">
        <v>0.273</v>
      </c>
      <c r="T226" s="46" t="n">
        <v>0.2103</v>
      </c>
      <c r="U226" s="44" t="s">
        <v>34</v>
      </c>
      <c r="V226" s="50"/>
      <c r="W226" s="45"/>
      <c r="X226" s="45"/>
      <c r="Y226" s="45"/>
      <c r="Z226" s="51"/>
      <c r="AA226" s="43" t="s">
        <v>234</v>
      </c>
    </row>
    <row r="227" customFormat="false" ht="18.9" hidden="false" customHeight="true" outlineLevel="0" collapsed="false">
      <c r="A227" s="44" t="s">
        <v>32</v>
      </c>
      <c r="B227" s="45" t="n">
        <v>5000</v>
      </c>
      <c r="C227" s="44" t="s">
        <v>38</v>
      </c>
      <c r="D227" s="44" t="s">
        <v>33</v>
      </c>
      <c r="E227" s="45" t="str">
        <f aca="false" t="array" ref="E227:E227">IF(F227&gt;100,"T1",IF(F227&gt;50,"T2",IF(F227&gt;10,"T3",IF(F227&gt;1,"T4",IF(F227=0,"TBD","T5")))))</f>
        <v>T4</v>
      </c>
      <c r="F227" s="45" t="n">
        <v>4.6</v>
      </c>
      <c r="G227" s="46" t="n">
        <v>0.589</v>
      </c>
      <c r="H227" s="46" t="n">
        <v>0.035</v>
      </c>
      <c r="I227" s="46" t="n">
        <v>0.9507</v>
      </c>
      <c r="J227" s="46" t="n">
        <f aca="false" t="array" ref="J227:J227">O227/N227</f>
        <v>0.208946608946609</v>
      </c>
      <c r="K227" s="48" t="n">
        <f aca="false" t="array" ref="K227:K227">B227/O227</f>
        <v>0.287753222836096</v>
      </c>
      <c r="L227" s="48" t="n">
        <f aca="false" t="array" ref="L227:L227">B227/P227</f>
        <v>5.67536889897843</v>
      </c>
      <c r="M227" s="49" t="n">
        <f aca="false" t="array" ref="M227:M227">B227/Q227</f>
        <v>7.6219512195122</v>
      </c>
      <c r="N227" s="49" t="n">
        <v>83160</v>
      </c>
      <c r="O227" s="49" t="n">
        <v>17376</v>
      </c>
      <c r="P227" s="45" t="n">
        <v>881</v>
      </c>
      <c r="Q227" s="45" t="n">
        <v>656</v>
      </c>
      <c r="R227" s="46" t="n">
        <v>0.964</v>
      </c>
      <c r="S227" s="46" t="n">
        <v>0.002</v>
      </c>
      <c r="T227" s="46" t="n">
        <v>0.4277</v>
      </c>
      <c r="U227" s="44" t="s">
        <v>34</v>
      </c>
      <c r="V227" s="62" t="s">
        <v>139</v>
      </c>
      <c r="W227" s="44" t="s">
        <v>91</v>
      </c>
      <c r="X227" s="44" t="s">
        <v>92</v>
      </c>
      <c r="Y227" s="44" t="s">
        <v>235</v>
      </c>
      <c r="Z227" s="121" t="s">
        <v>236</v>
      </c>
      <c r="AA227" s="43" t="s">
        <v>237</v>
      </c>
    </row>
    <row r="228" customFormat="false" ht="18.9" hidden="false" customHeight="true" outlineLevel="0" collapsed="false">
      <c r="A228" s="44" t="s">
        <v>32</v>
      </c>
      <c r="B228" s="45" t="n">
        <v>4500</v>
      </c>
      <c r="C228" s="44" t="s">
        <v>38</v>
      </c>
      <c r="D228" s="44" t="s">
        <v>33</v>
      </c>
      <c r="E228" s="45" t="str">
        <f aca="false" t="array" ref="E228:E228">IF(F228&gt;100,"T1",IF(F228&gt;50,"T2",IF(F228&gt;10,"T3",IF(F228&gt;1,"T4",IF(F228=0,"TBD","T5")))))</f>
        <v>T4</v>
      </c>
      <c r="F228" s="45" t="n">
        <v>4.9</v>
      </c>
      <c r="G228" s="46" t="n">
        <v>0.276</v>
      </c>
      <c r="H228" s="46" t="n">
        <v>0.057</v>
      </c>
      <c r="I228" s="46" t="n">
        <v>0.9364</v>
      </c>
      <c r="J228" s="46" t="n">
        <f aca="false" t="array" ref="J228:J228">O228/N228</f>
        <v>0.301167002012072</v>
      </c>
      <c r="K228" s="48" t="n">
        <f aca="false" t="array" ref="K228:K228">B228/O228</f>
        <v>1.20256547300909</v>
      </c>
      <c r="L228" s="48" t="n">
        <f aca="false" t="array" ref="L228:L228">B228/P228</f>
        <v>11.4213197969543</v>
      </c>
      <c r="M228" s="49" t="n">
        <f aca="false" t="array" ref="M228:M228">B228/Q228</f>
        <v>166.666666666667</v>
      </c>
      <c r="N228" s="49" t="n">
        <v>12425</v>
      </c>
      <c r="O228" s="49" t="n">
        <v>3742</v>
      </c>
      <c r="P228" s="45" t="n">
        <v>394</v>
      </c>
      <c r="Q228" s="45" t="n">
        <v>27</v>
      </c>
      <c r="R228" s="46" t="n">
        <v>0.84</v>
      </c>
      <c r="S228" s="46" t="n">
        <v>0.016</v>
      </c>
      <c r="T228" s="46" t="n">
        <v>0.3373</v>
      </c>
      <c r="U228" s="44" t="s">
        <v>34</v>
      </c>
      <c r="V228" s="50"/>
      <c r="W228" s="45"/>
      <c r="X228" s="45"/>
      <c r="Y228" s="45"/>
      <c r="Z228" s="51"/>
      <c r="AA228" s="43" t="s">
        <v>226</v>
      </c>
    </row>
    <row r="229" customFormat="false" ht="18.9" hidden="false" customHeight="true" outlineLevel="0" collapsed="false">
      <c r="A229" s="44" t="s">
        <v>32</v>
      </c>
      <c r="B229" s="45" t="n">
        <v>4300</v>
      </c>
      <c r="C229" s="45" t="n">
        <v>3440</v>
      </c>
      <c r="D229" s="44" t="s">
        <v>33</v>
      </c>
      <c r="E229" s="45" t="str">
        <f aca="false" t="array" ref="E229:E229">IF(F229&gt;100,"T1",IF(F229&gt;50,"T2",IF(F229&gt;10,"T3",IF(F229&gt;1,"T4",IF(F229=0,"TBD","T5")))))</f>
        <v>T4</v>
      </c>
      <c r="F229" s="45" t="n">
        <v>2.5</v>
      </c>
      <c r="G229" s="46" t="n">
        <v>0.393</v>
      </c>
      <c r="H229" s="46" t="n">
        <v>0.043</v>
      </c>
      <c r="I229" s="46" t="n">
        <v>0.9123</v>
      </c>
      <c r="J229" s="46" t="n">
        <f aca="false" t="array" ref="J229:J229">O229/N229</f>
        <v>0.412218045112782</v>
      </c>
      <c r="K229" s="48" t="n">
        <f aca="false" t="array" ref="K229:K229">B229/O229</f>
        <v>0.980392156862745</v>
      </c>
      <c r="L229" s="48" t="n">
        <f aca="false" t="array" ref="L229:L229">B229/P229</f>
        <v>8.61723446893788</v>
      </c>
      <c r="M229" s="49" t="n">
        <f aca="false" t="array" ref="M229:M229">B229/Q229</f>
        <v>93.4782608695652</v>
      </c>
      <c r="N229" s="49" t="n">
        <v>10640</v>
      </c>
      <c r="O229" s="49" t="n">
        <v>4386</v>
      </c>
      <c r="P229" s="45" t="n">
        <v>499</v>
      </c>
      <c r="Q229" s="45" t="n">
        <v>46</v>
      </c>
      <c r="R229" s="46" t="n">
        <v>0.711</v>
      </c>
      <c r="S229" s="46" t="n">
        <v>0.042</v>
      </c>
      <c r="T229" s="46" t="n">
        <v>0.167</v>
      </c>
      <c r="U229" s="44" t="s">
        <v>34</v>
      </c>
      <c r="V229" s="50"/>
      <c r="W229" s="45"/>
      <c r="X229" s="45"/>
      <c r="Y229" s="45"/>
      <c r="Z229" s="51"/>
      <c r="AA229" s="43" t="s">
        <v>238</v>
      </c>
    </row>
    <row r="230" customFormat="false" ht="18.9" hidden="false" customHeight="true" outlineLevel="0" collapsed="false">
      <c r="A230" s="44" t="s">
        <v>32</v>
      </c>
      <c r="B230" s="45" t="n">
        <v>3500</v>
      </c>
      <c r="C230" s="45" t="n">
        <v>4500</v>
      </c>
      <c r="D230" s="44" t="s">
        <v>33</v>
      </c>
      <c r="E230" s="45" t="str">
        <f aca="false" t="array" ref="E230:E230">IF(F230&gt;100,"T1",IF(F230&gt;50,"T2",IF(F230&gt;10,"T3",IF(F230&gt;1,"T4",IF(F230=0,"TBD","T5")))))</f>
        <v>T4</v>
      </c>
      <c r="F230" s="45" t="n">
        <v>2.4</v>
      </c>
      <c r="G230" s="46" t="n">
        <v>0.323</v>
      </c>
      <c r="H230" s="46" t="n">
        <v>0.071</v>
      </c>
      <c r="I230" s="46" t="n">
        <v>0.8808</v>
      </c>
      <c r="J230" s="46" t="n">
        <f aca="false" t="array" ref="J230:J230">O230/N230</f>
        <v>0.156758234249009</v>
      </c>
      <c r="K230" s="48" t="n">
        <f aca="false" t="array" ref="K230:K230">B230/O230</f>
        <v>3.0514385353095</v>
      </c>
      <c r="L230" s="48" t="n">
        <f aca="false" t="array" ref="L230:L230">B230/P230</f>
        <v>9.77653631284916</v>
      </c>
      <c r="M230" s="49" t="n">
        <f aca="false" t="array" ref="M230:M230">B230/Q230</f>
        <v>76.0869565217391</v>
      </c>
      <c r="N230" s="49" t="n">
        <v>7317</v>
      </c>
      <c r="O230" s="49" t="n">
        <v>1147</v>
      </c>
      <c r="P230" s="45" t="n">
        <v>358</v>
      </c>
      <c r="Q230" s="45" t="n">
        <v>46</v>
      </c>
      <c r="R230" s="46" t="n">
        <v>0.402</v>
      </c>
      <c r="S230" s="46" t="n">
        <v>0.202</v>
      </c>
      <c r="T230" s="46" t="n">
        <v>0.3489</v>
      </c>
      <c r="U230" s="44" t="s">
        <v>34</v>
      </c>
      <c r="V230" s="50"/>
      <c r="W230" s="45"/>
      <c r="X230" s="45"/>
      <c r="Y230" s="45"/>
      <c r="Z230" s="51"/>
      <c r="AA230" s="43" t="s">
        <v>239</v>
      </c>
    </row>
    <row r="231" customFormat="false" ht="18.9" hidden="false" customHeight="true" outlineLevel="0" collapsed="false">
      <c r="A231" s="44" t="s">
        <v>32</v>
      </c>
      <c r="B231" s="45" t="n">
        <v>25000</v>
      </c>
      <c r="C231" s="45" t="n">
        <v>30000</v>
      </c>
      <c r="D231" s="44" t="s">
        <v>33</v>
      </c>
      <c r="E231" s="45" t="str">
        <f aca="false" t="array" ref="E231:E231">IF(F231&gt;100,"T1",IF(F231&gt;50,"T2",IF(F231&gt;10,"T3",IF(F231&gt;1,"T4",IF(F231=0,"TBD","T5")))))</f>
        <v>T3</v>
      </c>
      <c r="F231" s="45" t="n">
        <v>30.1</v>
      </c>
      <c r="G231" s="46" t="n">
        <v>0.529</v>
      </c>
      <c r="H231" s="46" t="n">
        <v>0.029</v>
      </c>
      <c r="I231" s="46" t="n">
        <v>0.9704</v>
      </c>
      <c r="J231" s="46" t="n">
        <f aca="false" t="array" ref="J231:J231">O231/N231</f>
        <v>0.155529047074194</v>
      </c>
      <c r="K231" s="48" t="n">
        <f aca="false" t="array" ref="K231:K231">C231/O231</f>
        <v>0.782635917771053</v>
      </c>
      <c r="L231" s="48" t="n">
        <f aca="false" t="array" ref="L231:L231">C231/P231</f>
        <v>13.869625520111</v>
      </c>
      <c r="M231" s="49" t="n">
        <f aca="false" t="array" ref="M231:M231">C231/Q231</f>
        <v>77.720207253886</v>
      </c>
      <c r="N231" s="49" t="n">
        <v>246462</v>
      </c>
      <c r="O231" s="49" t="n">
        <v>38332</v>
      </c>
      <c r="P231" s="49" t="n">
        <v>2163</v>
      </c>
      <c r="Q231" s="45" t="n">
        <v>386</v>
      </c>
      <c r="R231" s="46" t="n">
        <v>0.964</v>
      </c>
      <c r="S231" s="46" t="n">
        <v>0.002</v>
      </c>
      <c r="T231" s="44" t="s">
        <v>34</v>
      </c>
      <c r="U231" s="46" t="n">
        <v>0.3476</v>
      </c>
      <c r="V231" s="62" t="s">
        <v>139</v>
      </c>
      <c r="W231" s="44" t="s">
        <v>67</v>
      </c>
      <c r="X231" s="44" t="s">
        <v>123</v>
      </c>
      <c r="Y231" s="44" t="s">
        <v>169</v>
      </c>
      <c r="Z231" s="51"/>
      <c r="AA231" s="43" t="s">
        <v>240</v>
      </c>
    </row>
    <row r="232" customFormat="false" ht="18.9" hidden="false" customHeight="true" outlineLevel="0" collapsed="false">
      <c r="A232" s="44" t="s">
        <v>32</v>
      </c>
      <c r="B232" s="45" t="n">
        <v>10000</v>
      </c>
      <c r="C232" s="45" t="n">
        <v>22000</v>
      </c>
      <c r="D232" s="44" t="s">
        <v>33</v>
      </c>
      <c r="E232" s="45" t="str">
        <f aca="false" t="array" ref="E232:E232">IF(F232&gt;100,"T1",IF(F232&gt;50,"T2",IF(F232&gt;10,"T3",IF(F232&gt;1,"T4",IF(F232=0,"TBD","T5")))))</f>
        <v>T3</v>
      </c>
      <c r="F232" s="45" t="n">
        <v>14.2</v>
      </c>
      <c r="G232" s="46" t="n">
        <v>0.263</v>
      </c>
      <c r="H232" s="46" t="n">
        <v>0.057</v>
      </c>
      <c r="I232" s="46" t="n">
        <v>0.898</v>
      </c>
      <c r="J232" s="46" t="n">
        <f aca="false" t="array" ref="J232:J232">O232/N232</f>
        <v>0.265070487874024</v>
      </c>
      <c r="K232" s="48" t="n">
        <f aca="false" t="array" ref="K232:K232">C232/O232</f>
        <v>1.06951871657754</v>
      </c>
      <c r="L232" s="48" t="n">
        <f aca="false" t="array" ref="L232:L232">C232/P232</f>
        <v>20.5799812909261</v>
      </c>
      <c r="M232" s="49" t="n">
        <f aca="false" t="array" ref="M232:M232">C232/Q232</f>
        <v>184.873949579832</v>
      </c>
      <c r="N232" s="49" t="n">
        <v>77602</v>
      </c>
      <c r="O232" s="49" t="n">
        <v>20570</v>
      </c>
      <c r="P232" s="45" t="n">
        <v>1069</v>
      </c>
      <c r="Q232" s="45" t="n">
        <v>119</v>
      </c>
      <c r="R232" s="46" t="n">
        <v>0.918</v>
      </c>
      <c r="S232" s="46" t="n">
        <v>0.005</v>
      </c>
      <c r="T232" s="44" t="s">
        <v>34</v>
      </c>
      <c r="U232" s="46" t="n">
        <v>0.2267</v>
      </c>
      <c r="V232" s="50"/>
      <c r="W232" s="45"/>
      <c r="X232" s="45"/>
      <c r="Y232" s="45"/>
      <c r="Z232" s="51"/>
      <c r="AA232" s="43" t="s">
        <v>241</v>
      </c>
    </row>
    <row r="233" customFormat="false" ht="18.9" hidden="false" customHeight="true" outlineLevel="0" collapsed="false">
      <c r="A233" s="52" t="s">
        <v>32</v>
      </c>
      <c r="B233" s="53" t="n">
        <v>9500</v>
      </c>
      <c r="C233" s="53" t="n">
        <v>18000</v>
      </c>
      <c r="D233" s="52" t="s">
        <v>33</v>
      </c>
      <c r="E233" s="53" t="str">
        <f aca="false" t="array" ref="E233:E233">IF(F233&gt;100,"T1",IF(F233&gt;50,"T2",IF(F233&gt;10,"T3",IF(F233&gt;1,"T4",IF(F233=0,"TBD","T5")))))</f>
        <v>T3</v>
      </c>
      <c r="F233" s="53" t="n">
        <v>13.9</v>
      </c>
      <c r="G233" s="54" t="n">
        <v>0.568</v>
      </c>
      <c r="H233" s="54" t="n">
        <v>0.03</v>
      </c>
      <c r="I233" s="54" t="n">
        <v>0.9346</v>
      </c>
      <c r="J233" s="54" t="n">
        <f aca="false" t="array" ref="J233:J233">O233/N233</f>
        <v>0.283320904797415</v>
      </c>
      <c r="K233" s="56" t="n">
        <f aca="false" t="array" ref="K233:K233">C233/O233</f>
        <v>3.15844885067556</v>
      </c>
      <c r="L233" s="56" t="n">
        <f aca="false" t="array" ref="L233:L233">C233/P233</f>
        <v>18.8679245283019</v>
      </c>
      <c r="M233" s="57" t="n">
        <f aca="false" t="array" ref="M233:M233">C233/Q233</f>
        <v>360</v>
      </c>
      <c r="N233" s="57" t="n">
        <v>20115</v>
      </c>
      <c r="O233" s="57" t="n">
        <v>5699</v>
      </c>
      <c r="P233" s="53" t="n">
        <v>954</v>
      </c>
      <c r="Q233" s="53" t="n">
        <v>50</v>
      </c>
      <c r="R233" s="54" t="n">
        <v>0.416</v>
      </c>
      <c r="S233" s="54" t="n">
        <v>0.213</v>
      </c>
      <c r="T233" s="52" t="s">
        <v>34</v>
      </c>
      <c r="U233" s="54" t="n">
        <v>0.4238</v>
      </c>
      <c r="V233" s="122" t="s">
        <v>139</v>
      </c>
      <c r="W233" s="52" t="s">
        <v>56</v>
      </c>
      <c r="X233" s="52" t="s">
        <v>205</v>
      </c>
      <c r="Y233" s="52" t="s">
        <v>142</v>
      </c>
      <c r="Z233" s="123" t="s">
        <v>242</v>
      </c>
      <c r="AA233" s="43" t="s">
        <v>243</v>
      </c>
    </row>
    <row r="234" customFormat="false" ht="17.4" hidden="false" customHeight="true" outlineLevel="0" collapsed="false">
      <c r="A234" s="65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4"/>
      <c r="W234" s="33"/>
      <c r="X234" s="33"/>
      <c r="Y234" s="33"/>
      <c r="Z234" s="33"/>
      <c r="AA234" s="34"/>
    </row>
    <row r="235" customFormat="false" ht="18.9" hidden="false" customHeight="true" outlineLevel="0" collapsed="false">
      <c r="A235" s="35" t="s">
        <v>32</v>
      </c>
      <c r="B235" s="36" t="n">
        <v>15000</v>
      </c>
      <c r="C235" s="36" t="n">
        <v>20000</v>
      </c>
      <c r="D235" s="35" t="s">
        <v>33</v>
      </c>
      <c r="E235" s="36" t="str">
        <f aca="false" t="array" ref="E235:E235">IF(F235&gt;100,"T1",IF(F235&gt;50,"T2",IF(F235&gt;10,"T3",IF(F235&gt;1,"T4",IF(F235=0,"TBD","T5")))))</f>
        <v>T3</v>
      </c>
      <c r="F235" s="36" t="n">
        <v>23.4</v>
      </c>
      <c r="G235" s="37" t="n">
        <v>0.316</v>
      </c>
      <c r="H235" s="37" t="n">
        <v>0.057</v>
      </c>
      <c r="I235" s="37" t="n">
        <v>0.954</v>
      </c>
      <c r="J235" s="37" t="n">
        <f aca="false" t="array" ref="J235:J235">O235/N235</f>
        <v>0.143988704891356</v>
      </c>
      <c r="K235" s="39" t="n">
        <f aca="false" t="array" ref="K235:K235">C235/O235</f>
        <v>1.66195778627223</v>
      </c>
      <c r="L235" s="39" t="n">
        <f aca="false" t="array" ref="L235:L235">C235/P235</f>
        <v>13.2538104705103</v>
      </c>
      <c r="M235" s="40" t="n">
        <f aca="false" t="array" ref="M235:M235">C235/Q235</f>
        <v>1538.46153846154</v>
      </c>
      <c r="N235" s="40" t="n">
        <v>83576</v>
      </c>
      <c r="O235" s="40" t="n">
        <v>12034</v>
      </c>
      <c r="P235" s="36" t="n">
        <v>1509</v>
      </c>
      <c r="Q235" s="36" t="n">
        <v>13</v>
      </c>
      <c r="R235" s="37" t="n">
        <v>0.723</v>
      </c>
      <c r="S235" s="37" t="n">
        <v>0.007</v>
      </c>
      <c r="T235" s="35" t="s">
        <v>34</v>
      </c>
      <c r="U235" s="37" t="n">
        <v>0.0407</v>
      </c>
      <c r="V235" s="41"/>
      <c r="W235" s="36"/>
      <c r="X235" s="36"/>
      <c r="Y235" s="36"/>
      <c r="Z235" s="42"/>
      <c r="AA235" s="43" t="s">
        <v>244</v>
      </c>
    </row>
    <row r="236" customFormat="false" ht="18.9" hidden="false" customHeight="true" outlineLevel="0" collapsed="false">
      <c r="A236" s="44" t="s">
        <v>32</v>
      </c>
      <c r="B236" s="45" t="n">
        <v>48000</v>
      </c>
      <c r="C236" s="45" t="n">
        <v>48000</v>
      </c>
      <c r="D236" s="44" t="s">
        <v>33</v>
      </c>
      <c r="E236" s="45" t="str">
        <f aca="false" t="array" ref="E236:E236">IF(F236&gt;100,"T1",IF(F236&gt;50,"T2",IF(F236&gt;10,"T3",IF(F236&gt;1,"T4",IF(F236=0,"TBD","T5")))))</f>
        <v>T3</v>
      </c>
      <c r="F236" s="45" t="n">
        <v>49.3</v>
      </c>
      <c r="G236" s="46" t="n">
        <v>0.335</v>
      </c>
      <c r="H236" s="46" t="n">
        <v>0.053</v>
      </c>
      <c r="I236" s="46" t="n">
        <v>0.9331</v>
      </c>
      <c r="J236" s="46" t="n">
        <f aca="false" t="array" ref="J236:J236">O236/N236</f>
        <v>0.273780508163333</v>
      </c>
      <c r="K236" s="48" t="n">
        <f aca="false" t="array" ref="K236:K236">C236/O236</f>
        <v>5.85365853658537</v>
      </c>
      <c r="L236" s="48" t="n">
        <f aca="false" t="array" ref="L236:L236">C236/P236</f>
        <v>53.3333333333333</v>
      </c>
      <c r="M236" s="49" t="e">
        <f aca="false" t="array" ref="M236:M236">C236/Q236</f>
        <v>#VALUE!</v>
      </c>
      <c r="N236" s="49" t="n">
        <v>29951</v>
      </c>
      <c r="O236" s="49" t="n">
        <v>8200</v>
      </c>
      <c r="P236" s="45" t="n">
        <v>900</v>
      </c>
      <c r="Q236" s="44" t="s">
        <v>34</v>
      </c>
      <c r="R236" s="46" t="n">
        <v>0.736</v>
      </c>
      <c r="S236" s="46" t="n">
        <v>0.005</v>
      </c>
      <c r="T236" s="44" t="s">
        <v>34</v>
      </c>
      <c r="U236" s="44" t="s">
        <v>34</v>
      </c>
      <c r="V236" s="50"/>
      <c r="W236" s="45"/>
      <c r="X236" s="45"/>
      <c r="Y236" s="45"/>
      <c r="Z236" s="51"/>
      <c r="AA236" s="43" t="s">
        <v>146</v>
      </c>
    </row>
    <row r="237" customFormat="false" ht="18.9" hidden="false" customHeight="true" outlineLevel="0" collapsed="false">
      <c r="A237" s="44" t="s">
        <v>32</v>
      </c>
      <c r="B237" s="45" t="n">
        <v>25000</v>
      </c>
      <c r="C237" s="45" t="n">
        <v>25000</v>
      </c>
      <c r="D237" s="44" t="s">
        <v>33</v>
      </c>
      <c r="E237" s="45" t="str">
        <f aca="false" t="array" ref="E237:E237">IF(F237&gt;100,"T1",IF(F237&gt;50,"T2",IF(F237&gt;10,"T3",IF(F237&gt;1,"T4",IF(F237=0,"TBD","T5")))))</f>
        <v>T3</v>
      </c>
      <c r="F237" s="45" t="n">
        <v>13.2</v>
      </c>
      <c r="G237" s="46" t="n">
        <v>0.391</v>
      </c>
      <c r="H237" s="46" t="n">
        <v>0.072</v>
      </c>
      <c r="I237" s="46" t="n">
        <v>0.9285</v>
      </c>
      <c r="J237" s="46" t="n">
        <f aca="false" t="array" ref="J237:J237">O237/N237</f>
        <v>0.246209189016894</v>
      </c>
      <c r="K237" s="48" t="n">
        <f aca="false" t="array" ref="K237:K237">C237/O237</f>
        <v>4.62363602737193</v>
      </c>
      <c r="L237" s="48" t="n">
        <f aca="false" t="array" ref="L237:L237">C237/P237</f>
        <v>110.619469026549</v>
      </c>
      <c r="M237" s="49" t="n">
        <f aca="false" t="array" ref="M237:M237">C237/Q237</f>
        <v>555.555555555556</v>
      </c>
      <c r="N237" s="49" t="n">
        <v>21961</v>
      </c>
      <c r="O237" s="49" t="n">
        <v>5407</v>
      </c>
      <c r="P237" s="45" t="n">
        <v>226</v>
      </c>
      <c r="Q237" s="45" t="n">
        <v>45</v>
      </c>
      <c r="R237" s="46" t="n">
        <v>0.705</v>
      </c>
      <c r="S237" s="46" t="n">
        <v>0.126</v>
      </c>
      <c r="T237" s="44" t="s">
        <v>34</v>
      </c>
      <c r="U237" s="46" t="n">
        <v>0.2128</v>
      </c>
      <c r="V237" s="50"/>
      <c r="W237" s="45"/>
      <c r="X237" s="45"/>
      <c r="Y237" s="45"/>
      <c r="Z237" s="51"/>
      <c r="AA237" s="43" t="s">
        <v>111</v>
      </c>
    </row>
    <row r="238" customFormat="false" ht="18.9" hidden="false" customHeight="true" outlineLevel="0" collapsed="false">
      <c r="A238" s="44" t="s">
        <v>32</v>
      </c>
      <c r="B238" s="45" t="n">
        <v>45000</v>
      </c>
      <c r="C238" s="45" t="n">
        <v>45000</v>
      </c>
      <c r="D238" s="44" t="s">
        <v>33</v>
      </c>
      <c r="E238" s="45" t="str">
        <f aca="false" t="array" ref="E238:E238">IF(F238&gt;100,"T1",IF(F238&gt;50,"T2",IF(F238&gt;10,"T3",IF(F238&gt;1,"T4",IF(F238=0,"TBD","T5")))))</f>
        <v>T3</v>
      </c>
      <c r="F238" s="45" t="n">
        <v>27.8</v>
      </c>
      <c r="G238" s="46" t="n">
        <v>0.28</v>
      </c>
      <c r="H238" s="46" t="n">
        <v>0.063</v>
      </c>
      <c r="I238" s="46" t="n">
        <v>0.9214</v>
      </c>
      <c r="J238" s="46" t="n">
        <f aca="false" t="array" ref="J238:J238">O238/N238</f>
        <v>0.32995951417004</v>
      </c>
      <c r="K238" s="48" t="n">
        <f aca="false" t="array" ref="K238:K238">C238/O238</f>
        <v>27.6073619631902</v>
      </c>
      <c r="L238" s="48" t="n">
        <f aca="false" t="array" ref="L238:L238">C238/P238</f>
        <v>131.195335276968</v>
      </c>
      <c r="M238" s="49" t="n">
        <f aca="false" t="array" ref="M238:M238">C238/Q238</f>
        <v>494.505494505495</v>
      </c>
      <c r="N238" s="49" t="n">
        <v>4940</v>
      </c>
      <c r="O238" s="49" t="n">
        <v>1630</v>
      </c>
      <c r="P238" s="45" t="n">
        <v>343</v>
      </c>
      <c r="Q238" s="45" t="n">
        <v>91</v>
      </c>
      <c r="R238" s="46" t="n">
        <v>0.177</v>
      </c>
      <c r="S238" s="46" t="n">
        <v>0.156</v>
      </c>
      <c r="T238" s="44" t="s">
        <v>34</v>
      </c>
      <c r="U238" s="46" t="n">
        <v>0.1277</v>
      </c>
      <c r="V238" s="50"/>
      <c r="W238" s="45"/>
      <c r="X238" s="45"/>
      <c r="Y238" s="45"/>
      <c r="Z238" s="51"/>
      <c r="AA238" s="43" t="s">
        <v>111</v>
      </c>
    </row>
    <row r="239" customFormat="false" ht="18.9" hidden="false" customHeight="true" outlineLevel="0" collapsed="false">
      <c r="A239" s="44" t="s">
        <v>32</v>
      </c>
      <c r="B239" s="45" t="n">
        <v>9000</v>
      </c>
      <c r="C239" s="45" t="n">
        <v>9000</v>
      </c>
      <c r="D239" s="44" t="s">
        <v>61</v>
      </c>
      <c r="E239" s="45" t="str">
        <f aca="false" t="array" ref="E239:E239">IF(F239&gt;100,"T1",IF(F239&gt;50,"T2",IF(F239&gt;10,"T3",IF(F239&gt;1,"T4",IF(F239=0,"TBD","T5")))))</f>
        <v>T4</v>
      </c>
      <c r="F239" s="45" t="n">
        <v>5.3</v>
      </c>
      <c r="G239" s="46" t="n">
        <v>0.314</v>
      </c>
      <c r="H239" s="46" t="n">
        <v>0.049</v>
      </c>
      <c r="I239" s="46" t="n">
        <v>0.9425</v>
      </c>
      <c r="J239" s="46" t="n">
        <f aca="false" t="array" ref="J239:J239">O239/N239</f>
        <v>0.330062140503204</v>
      </c>
      <c r="K239" s="48" t="n">
        <f aca="false" t="array" ref="K239:K239">C239/O239</f>
        <v>0.0828973546533048</v>
      </c>
      <c r="L239" s="48" t="n">
        <f aca="false" t="array" ref="L239:L239">C239/P239</f>
        <v>0.853808936533536</v>
      </c>
      <c r="M239" s="49" t="n">
        <f aca="false" t="array" ref="M239:M239">C239/Q239</f>
        <v>257.142857142857</v>
      </c>
      <c r="N239" s="49" t="n">
        <v>328932</v>
      </c>
      <c r="O239" s="49" t="n">
        <v>108568</v>
      </c>
      <c r="P239" s="45" t="n">
        <v>10541</v>
      </c>
      <c r="Q239" s="45" t="n">
        <v>35</v>
      </c>
      <c r="R239" s="46" t="n">
        <v>0.733</v>
      </c>
      <c r="S239" s="46" t="n">
        <v>0.001</v>
      </c>
      <c r="T239" s="44" t="s">
        <v>34</v>
      </c>
      <c r="U239" s="46" t="n">
        <v>0.4384</v>
      </c>
      <c r="V239" s="50"/>
      <c r="W239" s="45"/>
      <c r="X239" s="45"/>
      <c r="Y239" s="45"/>
      <c r="Z239" s="51"/>
      <c r="AA239" s="43" t="s">
        <v>245</v>
      </c>
    </row>
    <row r="240" customFormat="false" ht="18.9" hidden="false" customHeight="true" outlineLevel="0" collapsed="false">
      <c r="A240" s="44" t="s">
        <v>32</v>
      </c>
      <c r="B240" s="45" t="n">
        <v>5000</v>
      </c>
      <c r="C240" s="45" t="n">
        <v>6000</v>
      </c>
      <c r="D240" s="44" t="s">
        <v>36</v>
      </c>
      <c r="E240" s="45" t="str">
        <f aca="false" t="array" ref="E240:E240">IF(F240&gt;100,"T1",IF(F240&gt;50,"T2",IF(F240&gt;10,"T3",IF(F240&gt;1,"T4",IF(F240=0,"TBD","T5")))))</f>
        <v>T4</v>
      </c>
      <c r="F240" s="45" t="n">
        <v>4</v>
      </c>
      <c r="G240" s="46" t="n">
        <v>0.45</v>
      </c>
      <c r="H240" s="46" t="n">
        <v>0.016</v>
      </c>
      <c r="I240" s="46" t="n">
        <v>0.9641</v>
      </c>
      <c r="J240" s="46" t="n">
        <f aca="false" t="array" ref="J240:J240">O240/N240</f>
        <v>0.10876230434081</v>
      </c>
      <c r="K240" s="48" t="n">
        <f aca="false" t="array" ref="K240:K240">C240/O240</f>
        <v>1.48367952522255</v>
      </c>
      <c r="L240" s="48" t="n">
        <f aca="false" t="array" ref="L240:L240">C240/P240</f>
        <v>28.3018867924528</v>
      </c>
      <c r="M240" s="49" t="e">
        <f aca="false" t="array" ref="M240:M240">C240/Q240</f>
        <v>#VALUE!</v>
      </c>
      <c r="N240" s="49" t="n">
        <v>37182</v>
      </c>
      <c r="O240" s="49" t="n">
        <v>4044</v>
      </c>
      <c r="P240" s="45" t="n">
        <v>212</v>
      </c>
      <c r="Q240" s="44" t="s">
        <v>34</v>
      </c>
      <c r="R240" s="46" t="n">
        <v>0.773</v>
      </c>
      <c r="S240" s="46" t="n">
        <v>0.012</v>
      </c>
      <c r="T240" s="44" t="s">
        <v>34</v>
      </c>
      <c r="U240" s="44" t="s">
        <v>34</v>
      </c>
      <c r="V240" s="50"/>
      <c r="W240" s="45"/>
      <c r="X240" s="45"/>
      <c r="Y240" s="45"/>
      <c r="Z240" s="51"/>
      <c r="AA240" s="43" t="s">
        <v>246</v>
      </c>
    </row>
    <row r="241" customFormat="false" ht="18.9" hidden="false" customHeight="true" outlineLevel="0" collapsed="false">
      <c r="A241" s="44" t="s">
        <v>32</v>
      </c>
      <c r="B241" s="45" t="n">
        <v>7000</v>
      </c>
      <c r="C241" s="45" t="n">
        <v>10000</v>
      </c>
      <c r="D241" s="44" t="s">
        <v>36</v>
      </c>
      <c r="E241" s="45" t="str">
        <f aca="false" t="array" ref="E241:E241">IF(F241&gt;100,"T1",IF(F241&gt;50,"T2",IF(F241&gt;10,"T3",IF(F241&gt;1,"T4",IF(F241=0,"TBD","T5")))))</f>
        <v>T4</v>
      </c>
      <c r="F241" s="45" t="n">
        <v>8.4</v>
      </c>
      <c r="G241" s="46" t="n">
        <v>0.454</v>
      </c>
      <c r="H241" s="46" t="n">
        <v>0.052</v>
      </c>
      <c r="I241" s="46" t="n">
        <v>0.9123</v>
      </c>
      <c r="J241" s="46" t="n">
        <f aca="false" t="array" ref="J241:J241">O241/N241</f>
        <v>0.114694177327617</v>
      </c>
      <c r="K241" s="48" t="n">
        <f aca="false" t="array" ref="K241:K241">C241/O241</f>
        <v>1.48920327624721</v>
      </c>
      <c r="L241" s="48" t="n">
        <f aca="false" t="array" ref="L241:L241">C241/P241</f>
        <v>8.12347684809098</v>
      </c>
      <c r="M241" s="49" t="n">
        <f aca="false" t="array" ref="M241:M241">C241/Q241</f>
        <v>10000</v>
      </c>
      <c r="N241" s="49" t="n">
        <v>58547</v>
      </c>
      <c r="O241" s="49" t="n">
        <v>6715</v>
      </c>
      <c r="P241" s="45" t="n">
        <v>1231</v>
      </c>
      <c r="Q241" s="45" t="n">
        <v>1</v>
      </c>
      <c r="R241" s="46" t="n">
        <v>0.733</v>
      </c>
      <c r="S241" s="46" t="n">
        <v>0.04</v>
      </c>
      <c r="T241" s="44" t="s">
        <v>34</v>
      </c>
      <c r="U241" s="46" t="n">
        <v>0.2482</v>
      </c>
      <c r="V241" s="50"/>
      <c r="W241" s="45"/>
      <c r="X241" s="45"/>
      <c r="Y241" s="45"/>
      <c r="Z241" s="51"/>
      <c r="AA241" s="124" t="s">
        <v>226</v>
      </c>
    </row>
    <row r="242" customFormat="false" ht="18.9" hidden="false" customHeight="true" outlineLevel="0" collapsed="false">
      <c r="A242" s="44" t="s">
        <v>32</v>
      </c>
      <c r="B242" s="45" t="n">
        <v>6500</v>
      </c>
      <c r="C242" s="45" t="n">
        <v>11000</v>
      </c>
      <c r="D242" s="44" t="s">
        <v>36</v>
      </c>
      <c r="E242" s="45" t="str">
        <f aca="false" t="array" ref="E242:E242">IF(F242&gt;100,"T1",IF(F242&gt;50,"T2",IF(F242&gt;10,"T3",IF(F242&gt;1,"T4",IF(F242=0,"TBD","T5")))))</f>
        <v>T3</v>
      </c>
      <c r="F242" s="45" t="n">
        <v>17.7</v>
      </c>
      <c r="G242" s="46" t="n">
        <v>0.791</v>
      </c>
      <c r="H242" s="46" t="n">
        <v>0.041</v>
      </c>
      <c r="I242" s="46" t="n">
        <v>0.9346</v>
      </c>
      <c r="J242" s="46" t="n">
        <f aca="false" t="array" ref="J242:J242">O242/N242</f>
        <v>0.115234509402987</v>
      </c>
      <c r="K242" s="48" t="n">
        <f aca="false" t="array" ref="K242:K242">C242/O242</f>
        <v>0.938406415287493</v>
      </c>
      <c r="L242" s="48" t="n">
        <f aca="false" t="array" ref="L242:L242">C242/P242</f>
        <v>3.58072916666667</v>
      </c>
      <c r="M242" s="49" t="e">
        <f aca="false" t="array" ref="M242:M242">C242/Q242</f>
        <v>#VALUE!</v>
      </c>
      <c r="N242" s="49" t="n">
        <v>101723</v>
      </c>
      <c r="O242" s="49" t="n">
        <v>11722</v>
      </c>
      <c r="P242" s="45" t="n">
        <v>3072</v>
      </c>
      <c r="Q242" s="44" t="s">
        <v>34</v>
      </c>
      <c r="R242" s="46" t="n">
        <v>0.89</v>
      </c>
      <c r="S242" s="46" t="n">
        <v>0.017</v>
      </c>
      <c r="T242" s="44" t="s">
        <v>34</v>
      </c>
      <c r="U242" s="44" t="s">
        <v>34</v>
      </c>
      <c r="V242" s="50"/>
      <c r="W242" s="45"/>
      <c r="X242" s="45"/>
      <c r="Y242" s="45"/>
      <c r="Z242" s="45"/>
      <c r="AA242" s="111" t="s">
        <v>103</v>
      </c>
    </row>
    <row r="243" customFormat="false" ht="18.9" hidden="false" customHeight="true" outlineLevel="0" collapsed="false">
      <c r="A243" s="44" t="s">
        <v>32</v>
      </c>
      <c r="B243" s="45" t="n">
        <v>4500</v>
      </c>
      <c r="C243" s="45" t="n">
        <v>7000</v>
      </c>
      <c r="D243" s="44" t="s">
        <v>36</v>
      </c>
      <c r="E243" s="45" t="str">
        <f aca="false" t="array" ref="E243:E243">IF(F243&gt;100,"T1",IF(F243&gt;50,"T2",IF(F243&gt;10,"T3",IF(F243&gt;1,"T4",IF(F243=0,"TBD","T5")))))</f>
        <v>T4</v>
      </c>
      <c r="F243" s="45" t="n">
        <v>7.2</v>
      </c>
      <c r="G243" s="46" t="n">
        <v>0.621</v>
      </c>
      <c r="H243" s="46" t="n">
        <v>0.024</v>
      </c>
      <c r="I243" s="46" t="n">
        <v>0.9749</v>
      </c>
      <c r="J243" s="46" t="n">
        <f aca="false" t="array" ref="J243:J243">O243/N243</f>
        <v>0.285096108985724</v>
      </c>
      <c r="K243" s="48" t="n">
        <f aca="false" t="array" ref="K243:K243">C243/O243</f>
        <v>0.286380558851205</v>
      </c>
      <c r="L243" s="48" t="n">
        <f aca="false" t="array" ref="L243:L243">C243/P243</f>
        <v>4.28134556574924</v>
      </c>
      <c r="M243" s="49" t="n">
        <f aca="false" t="array" ref="M243:M243">C243/Q243</f>
        <v>75.2688172043011</v>
      </c>
      <c r="N243" s="49" t="n">
        <v>85736</v>
      </c>
      <c r="O243" s="49" t="n">
        <v>24443</v>
      </c>
      <c r="P243" s="45" t="n">
        <v>1635</v>
      </c>
      <c r="Q243" s="45" t="n">
        <v>93</v>
      </c>
      <c r="R243" s="46" t="n">
        <v>0.508</v>
      </c>
      <c r="S243" s="46" t="n">
        <v>0.014</v>
      </c>
      <c r="T243" s="44" t="s">
        <v>34</v>
      </c>
      <c r="U243" s="46" t="n">
        <v>0.3506</v>
      </c>
      <c r="V243" s="50"/>
      <c r="W243" s="45"/>
      <c r="X243" s="45"/>
      <c r="Y243" s="45"/>
      <c r="Z243" s="45"/>
      <c r="AA243" s="111" t="s">
        <v>103</v>
      </c>
    </row>
    <row r="244" customFormat="false" ht="18.9" hidden="false" customHeight="true" outlineLevel="0" collapsed="false">
      <c r="A244" s="52" t="s">
        <v>32</v>
      </c>
      <c r="B244" s="53" t="n">
        <v>40000</v>
      </c>
      <c r="C244" s="53" t="n">
        <v>40000</v>
      </c>
      <c r="D244" s="52" t="s">
        <v>36</v>
      </c>
      <c r="E244" s="53" t="str">
        <f aca="false" t="array" ref="E244:E244">IF(F244&gt;100,"T1",IF(F244&gt;50,"T2",IF(F244&gt;10,"T3",IF(F244&gt;1,"T4",IF(F244=0,"TBD","T5")))))</f>
        <v>T2</v>
      </c>
      <c r="F244" s="53" t="n">
        <v>50.7</v>
      </c>
      <c r="G244" s="54" t="n">
        <v>0.259</v>
      </c>
      <c r="H244" s="54" t="n">
        <v>0.056</v>
      </c>
      <c r="I244" s="54" t="n">
        <v>0.9592</v>
      </c>
      <c r="J244" s="54" t="n">
        <f aca="false" t="array" ref="J244:J244">O244/N244</f>
        <v>0.154564842083883</v>
      </c>
      <c r="K244" s="56" t="n">
        <f aca="false" t="array" ref="K244:K244">C244/O244</f>
        <v>6.57030223390276</v>
      </c>
      <c r="L244" s="56" t="n">
        <f aca="false" t="array" ref="L244:L244">C244/P244</f>
        <v>16.5562913907285</v>
      </c>
      <c r="M244" s="57" t="e">
        <f aca="false" t="array" ref="M244:M244">C244/Q244</f>
        <v>#VALUE!</v>
      </c>
      <c r="N244" s="57" t="n">
        <v>39388</v>
      </c>
      <c r="O244" s="57" t="n">
        <v>6088</v>
      </c>
      <c r="P244" s="53" t="n">
        <v>2416</v>
      </c>
      <c r="Q244" s="52" t="s">
        <v>34</v>
      </c>
      <c r="R244" s="54" t="n">
        <v>0.656</v>
      </c>
      <c r="S244" s="54" t="n">
        <v>0.009</v>
      </c>
      <c r="T244" s="52" t="s">
        <v>34</v>
      </c>
      <c r="U244" s="54" t="n">
        <v>0.2948</v>
      </c>
      <c r="V244" s="58"/>
      <c r="W244" s="53"/>
      <c r="X244" s="53"/>
      <c r="Y244" s="53"/>
      <c r="Z244" s="53"/>
      <c r="AA244" s="111" t="s">
        <v>103</v>
      </c>
    </row>
    <row r="245" customFormat="false" ht="17.4" hidden="false" customHeight="true" outlineLevel="0" collapsed="false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4"/>
      <c r="W245" s="33"/>
      <c r="X245" s="33"/>
      <c r="Y245" s="33"/>
      <c r="Z245" s="33"/>
      <c r="AA245" s="125"/>
    </row>
    <row r="246" customFormat="false" ht="18.9" hidden="false" customHeight="true" outlineLevel="0" collapsed="false">
      <c r="A246" s="35" t="s">
        <v>32</v>
      </c>
      <c r="B246" s="36" t="n">
        <v>10000</v>
      </c>
      <c r="C246" s="36" t="n">
        <v>18000</v>
      </c>
      <c r="D246" s="35" t="s">
        <v>36</v>
      </c>
      <c r="E246" s="36" t="str">
        <f aca="false" t="array" ref="E246:E246">IF(F246&gt;100,"T1",IF(F246&gt;50,"T2",IF(F246&gt;10,"T3",IF(F246&gt;1,"T4",IF(F246=0,"TBD","T5")))))</f>
        <v>T3</v>
      </c>
      <c r="F246" s="36" t="n">
        <v>12</v>
      </c>
      <c r="G246" s="37" t="n">
        <v>0.289</v>
      </c>
      <c r="H246" s="37" t="n">
        <v>0.069</v>
      </c>
      <c r="I246" s="37" t="n">
        <v>0.8728</v>
      </c>
      <c r="J246" s="37" t="n">
        <f aca="false" t="array" ref="J246:J246">O246/N246</f>
        <v>0.133406521023164</v>
      </c>
      <c r="K246" s="39" t="n">
        <f aca="false" t="array" ref="K246:K246">C246/O246</f>
        <v>1.48123765635286</v>
      </c>
      <c r="L246" s="39" t="n">
        <f aca="false" t="array" ref="L246:L246">C246/P246</f>
        <v>10.8303249097473</v>
      </c>
      <c r="M246" s="40" t="n">
        <f aca="false" t="array" ref="M246:M246">C246/Q246</f>
        <v>72.8744939271255</v>
      </c>
      <c r="N246" s="40" t="n">
        <v>91090</v>
      </c>
      <c r="O246" s="40" t="n">
        <v>12152</v>
      </c>
      <c r="P246" s="36" t="n">
        <v>1662</v>
      </c>
      <c r="Q246" s="36" t="n">
        <v>247</v>
      </c>
      <c r="R246" s="37" t="n">
        <v>0.834</v>
      </c>
      <c r="S246" s="37" t="n">
        <v>0.006</v>
      </c>
      <c r="T246" s="35" t="s">
        <v>34</v>
      </c>
      <c r="U246" s="37" t="n">
        <v>0.5072</v>
      </c>
      <c r="V246" s="41"/>
      <c r="W246" s="36"/>
      <c r="X246" s="36"/>
      <c r="Y246" s="36"/>
      <c r="Z246" s="36"/>
      <c r="AA246" s="111" t="s">
        <v>103</v>
      </c>
    </row>
    <row r="247" customFormat="false" ht="18.9" hidden="false" customHeight="true" outlineLevel="0" collapsed="false">
      <c r="A247" s="44" t="s">
        <v>32</v>
      </c>
      <c r="B247" s="45" t="n">
        <v>18000</v>
      </c>
      <c r="C247" s="45" t="n">
        <v>27000</v>
      </c>
      <c r="D247" s="44" t="s">
        <v>36</v>
      </c>
      <c r="E247" s="45" t="str">
        <f aca="false" t="array" ref="E247:E247">IF(F247&gt;100,"T1",IF(F247&gt;50,"T2",IF(F247&gt;10,"T3",IF(F247&gt;1,"T4",IF(F247=0,"TBD","T5")))))</f>
        <v>T3</v>
      </c>
      <c r="F247" s="45" t="n">
        <v>23.5</v>
      </c>
      <c r="G247" s="46" t="n">
        <v>0.446</v>
      </c>
      <c r="H247" s="46" t="n">
        <v>0.04</v>
      </c>
      <c r="I247" s="46" t="n">
        <v>0.9345</v>
      </c>
      <c r="J247" s="46" t="n">
        <f aca="false" t="array" ref="J247:J247">O247/N247</f>
        <v>0.151854572163055</v>
      </c>
      <c r="K247" s="48" t="n">
        <f aca="false" t="array" ref="K247:K247">C247/O247</f>
        <v>2.17654171704958</v>
      </c>
      <c r="L247" s="48" t="n">
        <f aca="false" t="array" ref="L247:L247">C247/P247</f>
        <v>13.5814889336016</v>
      </c>
      <c r="M247" s="49" t="e">
        <f aca="false" t="array" ref="M247:M247">C247/Q247</f>
        <v>#VALUE!</v>
      </c>
      <c r="N247" s="49" t="n">
        <v>81690</v>
      </c>
      <c r="O247" s="49" t="n">
        <v>12405</v>
      </c>
      <c r="P247" s="49" t="n">
        <v>1988</v>
      </c>
      <c r="Q247" s="44" t="s">
        <v>34</v>
      </c>
      <c r="R247" s="46" t="n">
        <v>0.655</v>
      </c>
      <c r="S247" s="46" t="n">
        <v>0.02</v>
      </c>
      <c r="T247" s="44" t="s">
        <v>34</v>
      </c>
      <c r="U247" s="44" t="s">
        <v>34</v>
      </c>
      <c r="V247" s="50"/>
      <c r="W247" s="45"/>
      <c r="X247" s="45"/>
      <c r="Y247" s="45"/>
      <c r="Z247" s="51"/>
      <c r="AA247" s="126" t="s">
        <v>247</v>
      </c>
    </row>
    <row r="248" customFormat="false" ht="18.9" hidden="false" customHeight="true" outlineLevel="0" collapsed="false">
      <c r="A248" s="44" t="s">
        <v>32</v>
      </c>
      <c r="B248" s="45" t="n">
        <v>9000</v>
      </c>
      <c r="C248" s="45" t="n">
        <v>10000</v>
      </c>
      <c r="D248" s="44" t="s">
        <v>36</v>
      </c>
      <c r="E248" s="45" t="str">
        <f aca="false" t="array" ref="E248:E248">IF(F248&gt;100,"T1",IF(F248&gt;50,"T2",IF(F248&gt;10,"T3",IF(F248&gt;1,"T4",IF(F248=0,"TBD","T5")))))</f>
        <v>T4</v>
      </c>
      <c r="F248" s="45" t="n">
        <v>9.4</v>
      </c>
      <c r="G248" s="46" t="n">
        <v>0.604</v>
      </c>
      <c r="H248" s="46" t="n">
        <v>0.021</v>
      </c>
      <c r="I248" s="46" t="n">
        <v>0.9793</v>
      </c>
      <c r="J248" s="46" t="n">
        <f aca="false" t="array" ref="J248:J248">O248/N248</f>
        <v>0.703931069259608</v>
      </c>
      <c r="K248" s="48" t="n">
        <f aca="false" t="array" ref="K248:K248">C248/O248</f>
        <v>0.155729280219267</v>
      </c>
      <c r="L248" s="48" t="n">
        <f aca="false" t="array" ref="L248:L248">C248/P248</f>
        <v>1.67448091091762</v>
      </c>
      <c r="M248" s="49" t="e">
        <f aca="false" t="array" ref="M248:M248">C248/Q248</f>
        <v>#VALUE!</v>
      </c>
      <c r="N248" s="49" t="n">
        <v>91222</v>
      </c>
      <c r="O248" s="49" t="n">
        <v>64214</v>
      </c>
      <c r="P248" s="45" t="n">
        <v>5972</v>
      </c>
      <c r="Q248" s="44" t="s">
        <v>34</v>
      </c>
      <c r="R248" s="46" t="n">
        <v>0.976</v>
      </c>
      <c r="S248" s="46" t="n">
        <v>0.002</v>
      </c>
      <c r="T248" s="44" t="s">
        <v>34</v>
      </c>
      <c r="U248" s="44" t="s">
        <v>34</v>
      </c>
      <c r="V248" s="50"/>
      <c r="W248" s="45"/>
      <c r="X248" s="45"/>
      <c r="Y248" s="45"/>
      <c r="Z248" s="51"/>
      <c r="AA248" s="43" t="s">
        <v>248</v>
      </c>
    </row>
    <row r="249" customFormat="false" ht="18.9" hidden="false" customHeight="true" outlineLevel="0" collapsed="false">
      <c r="A249" s="44" t="s">
        <v>32</v>
      </c>
      <c r="B249" s="45" t="n">
        <v>8000</v>
      </c>
      <c r="C249" s="45" t="n">
        <v>9000</v>
      </c>
      <c r="D249" s="44" t="s">
        <v>33</v>
      </c>
      <c r="E249" s="45" t="str">
        <f aca="false" t="array" ref="E249:E249">IF(F249&gt;100,"T1",IF(F249&gt;50,"T2",IF(F249&gt;10,"T3",IF(F249&gt;1,"T4",IF(F249=0,"TBD","T5")))))</f>
        <v>T4</v>
      </c>
      <c r="F249" s="45" t="n">
        <v>9.6</v>
      </c>
      <c r="G249" s="46" t="n">
        <v>0.481</v>
      </c>
      <c r="H249" s="46" t="n">
        <v>0.044</v>
      </c>
      <c r="I249" s="46" t="n">
        <v>0.7052</v>
      </c>
      <c r="J249" s="46" t="n">
        <f aca="false" t="array" ref="J249:J249">O249/N249</f>
        <v>0.180018552509523</v>
      </c>
      <c r="K249" s="48" t="n">
        <f aca="false" t="array" ref="K249:K249">C249/O249</f>
        <v>0.9867339107554</v>
      </c>
      <c r="L249" s="48" t="n">
        <f aca="false" t="array" ref="L249:L249">C249/P249</f>
        <v>8.47457627118644</v>
      </c>
      <c r="M249" s="49" t="n">
        <f aca="false" t="array" ref="M249:M249">C249/Q249</f>
        <v>1800</v>
      </c>
      <c r="N249" s="49" t="n">
        <v>50667</v>
      </c>
      <c r="O249" s="49" t="n">
        <v>9121</v>
      </c>
      <c r="P249" s="45" t="n">
        <v>1062</v>
      </c>
      <c r="Q249" s="45" t="n">
        <v>5</v>
      </c>
      <c r="R249" s="46" t="n">
        <v>0.94</v>
      </c>
      <c r="S249" s="46" t="n">
        <v>0.003</v>
      </c>
      <c r="T249" s="44" t="s">
        <v>34</v>
      </c>
      <c r="U249" s="46" t="n">
        <v>0.1168</v>
      </c>
      <c r="V249" s="50"/>
      <c r="W249" s="45"/>
      <c r="X249" s="45"/>
      <c r="Y249" s="45"/>
      <c r="Z249" s="51"/>
      <c r="AA249" s="43" t="s">
        <v>249</v>
      </c>
    </row>
    <row r="250" customFormat="false" ht="18.9" hidden="false" customHeight="true" outlineLevel="0" collapsed="false">
      <c r="A250" s="44" t="s">
        <v>32</v>
      </c>
      <c r="B250" s="45" t="n">
        <v>9650</v>
      </c>
      <c r="C250" s="45" t="n">
        <v>9650</v>
      </c>
      <c r="D250" s="44" t="s">
        <v>33</v>
      </c>
      <c r="E250" s="45" t="str">
        <f aca="false" t="array" ref="E250:E250">IF(F250&gt;100,"T1",IF(F250&gt;50,"T2",IF(F250&gt;10,"T3",IF(F250&gt;1,"T4",IF(F250=0,"TBD","T5")))))</f>
        <v>T4</v>
      </c>
      <c r="F250" s="45" t="n">
        <v>8.3</v>
      </c>
      <c r="G250" s="46" t="n">
        <v>0.235</v>
      </c>
      <c r="H250" s="46" t="n">
        <v>0.043</v>
      </c>
      <c r="I250" s="46" t="n">
        <v>0.9494</v>
      </c>
      <c r="J250" s="46" t="n">
        <f aca="false" t="array" ref="J250:J250">O250/N250</f>
        <v>0.166618202965978</v>
      </c>
      <c r="K250" s="48" t="n">
        <f aca="false" t="array" ref="K250:K250">B250/O250</f>
        <v>1.20294190974819</v>
      </c>
      <c r="L250" s="48" t="n">
        <f aca="false" t="array" ref="L250:L250">B250/P250</f>
        <v>11.6265060240964</v>
      </c>
      <c r="M250" s="49" t="n">
        <f aca="false" t="array" ref="M250:M250">B250/Q250</f>
        <v>139.855072463768</v>
      </c>
      <c r="N250" s="49" t="n">
        <v>48146</v>
      </c>
      <c r="O250" s="49" t="n">
        <v>8022</v>
      </c>
      <c r="P250" s="45" t="n">
        <v>830</v>
      </c>
      <c r="Q250" s="45" t="n">
        <v>69</v>
      </c>
      <c r="R250" s="46" t="n">
        <v>0.875</v>
      </c>
      <c r="S250" s="46" t="n">
        <v>0.004</v>
      </c>
      <c r="T250" s="46" t="n">
        <v>0.1975</v>
      </c>
      <c r="U250" s="44" t="s">
        <v>34</v>
      </c>
      <c r="V250" s="50"/>
      <c r="W250" s="45"/>
      <c r="X250" s="45"/>
      <c r="Y250" s="45"/>
      <c r="Z250" s="51"/>
      <c r="AA250" s="43" t="s">
        <v>250</v>
      </c>
    </row>
    <row r="251" customFormat="false" ht="18.9" hidden="false" customHeight="true" outlineLevel="0" collapsed="false">
      <c r="A251" s="44" t="s">
        <v>32</v>
      </c>
      <c r="B251" s="45" t="n">
        <v>24000</v>
      </c>
      <c r="C251" s="45" t="n">
        <v>35000</v>
      </c>
      <c r="D251" s="44" t="s">
        <v>36</v>
      </c>
      <c r="E251" s="45" t="str">
        <f aca="false" t="array" ref="E251:E251">IF(F251&gt;100,"T1",IF(F251&gt;50,"T2",IF(F251&gt;10,"T3",IF(F251&gt;1,"T4",IF(F251=0,"TBD","T5")))))</f>
        <v>T3</v>
      </c>
      <c r="F251" s="45" t="n">
        <v>42.6</v>
      </c>
      <c r="G251" s="46" t="n">
        <v>0.252</v>
      </c>
      <c r="H251" s="46" t="n">
        <v>0.059</v>
      </c>
      <c r="I251" s="46" t="n">
        <v>0.9063</v>
      </c>
      <c r="J251" s="46" t="n">
        <f aca="false" t="array" ref="J251:J251">O251/N251</f>
        <v>0.522348488311498</v>
      </c>
      <c r="K251" s="48" t="n">
        <f aca="false" t="array" ref="K251:K251">C251/O251</f>
        <v>0.612584230331671</v>
      </c>
      <c r="L251" s="48" t="n">
        <f aca="false" t="array" ref="L251:L251">C251/P251</f>
        <v>14.6504813729594</v>
      </c>
      <c r="M251" s="49" t="n">
        <f aca="false" t="array" ref="M251:M251">C251/Q251</f>
        <v>282.258064516129</v>
      </c>
      <c r="N251" s="49" t="n">
        <v>109381</v>
      </c>
      <c r="O251" s="49" t="n">
        <v>57135</v>
      </c>
      <c r="P251" s="45" t="n">
        <v>2389</v>
      </c>
      <c r="Q251" s="45" t="n">
        <v>124</v>
      </c>
      <c r="R251" s="46" t="n">
        <v>0.788</v>
      </c>
      <c r="S251" s="46" t="n">
        <v>0.001</v>
      </c>
      <c r="T251" s="44" t="s">
        <v>34</v>
      </c>
      <c r="U251" s="46" t="n">
        <v>0.2407</v>
      </c>
      <c r="V251" s="50"/>
      <c r="W251" s="45"/>
      <c r="X251" s="45"/>
      <c r="Y251" s="45"/>
      <c r="Z251" s="51"/>
      <c r="AA251" s="124" t="s">
        <v>156</v>
      </c>
    </row>
    <row r="252" customFormat="false" ht="18.9" hidden="false" customHeight="true" outlineLevel="0" collapsed="false">
      <c r="A252" s="44" t="s">
        <v>32</v>
      </c>
      <c r="B252" s="45" t="n">
        <v>46000</v>
      </c>
      <c r="C252" s="45" t="n">
        <v>59800</v>
      </c>
      <c r="D252" s="44" t="s">
        <v>33</v>
      </c>
      <c r="E252" s="45" t="str">
        <f aca="false" t="array" ref="E252:E252">IF(F252&gt;100,"T1",IF(F252&gt;50,"T2",IF(F252&gt;10,"T3",IF(F252&gt;1,"T4",IF(F252=0,"TBD","T5")))))</f>
        <v>T1</v>
      </c>
      <c r="F252" s="45" t="n">
        <v>148.4</v>
      </c>
      <c r="G252" s="46" t="n">
        <v>0.607</v>
      </c>
      <c r="H252" s="46" t="n">
        <v>0.017</v>
      </c>
      <c r="I252" s="46" t="n">
        <v>0.9844</v>
      </c>
      <c r="J252" s="46" t="n">
        <f aca="false" t="array" ref="J252:J252">O252/N252</f>
        <v>0.110234219480171</v>
      </c>
      <c r="K252" s="48" t="n">
        <f aca="false" t="array" ref="K252:K252">C252/O252</f>
        <v>7.65881147540984</v>
      </c>
      <c r="L252" s="48" t="n">
        <f aca="false" t="array" ref="L252:L252">C252/P252</f>
        <v>23.2233009708738</v>
      </c>
      <c r="M252" s="49" t="e">
        <f aca="false" t="array" ref="M252:M252">C252/Q252</f>
        <v>#VALUE!</v>
      </c>
      <c r="N252" s="49" t="n">
        <v>70831</v>
      </c>
      <c r="O252" s="49" t="n">
        <v>7808</v>
      </c>
      <c r="P252" s="45" t="n">
        <v>2575</v>
      </c>
      <c r="Q252" s="44" t="s">
        <v>34</v>
      </c>
      <c r="R252" s="46" t="n">
        <v>0.568</v>
      </c>
      <c r="S252" s="46" t="n">
        <v>0.055</v>
      </c>
      <c r="T252" s="44" t="s">
        <v>34</v>
      </c>
      <c r="U252" s="46" t="n">
        <v>0.0141</v>
      </c>
      <c r="V252" s="50"/>
      <c r="W252" s="45"/>
      <c r="X252" s="45"/>
      <c r="Y252" s="45"/>
      <c r="Z252" s="45"/>
      <c r="AA252" s="111" t="s">
        <v>103</v>
      </c>
    </row>
    <row r="253" customFormat="false" ht="18.9" hidden="false" customHeight="true" outlineLevel="0" collapsed="false">
      <c r="A253" s="44" t="s">
        <v>32</v>
      </c>
      <c r="B253" s="45" t="n">
        <v>28800</v>
      </c>
      <c r="C253" s="45" t="n">
        <v>36000</v>
      </c>
      <c r="D253" s="44" t="s">
        <v>33</v>
      </c>
      <c r="E253" s="45" t="str">
        <f aca="false" t="array" ref="E253:E253">IF(F253&gt;100,"T1",IF(F253&gt;50,"T2",IF(F253&gt;10,"T3",IF(F253&gt;1,"T4",IF(F253=0,"TBD","T5")))))</f>
        <v>T2</v>
      </c>
      <c r="F253" s="45" t="n">
        <v>61.9</v>
      </c>
      <c r="G253" s="46" t="n">
        <v>0.268</v>
      </c>
      <c r="H253" s="46" t="n">
        <v>0.066</v>
      </c>
      <c r="I253" s="46" t="n">
        <v>0.9225</v>
      </c>
      <c r="J253" s="46" t="n">
        <f aca="false" t="array" ref="J253:J253">O253/N253</f>
        <v>0.359590250794772</v>
      </c>
      <c r="K253" s="48" t="n">
        <f aca="false" t="array" ref="K253:K253">C253/O253</f>
        <v>1.86123461896391</v>
      </c>
      <c r="L253" s="48" t="n">
        <f aca="false" t="array" ref="L253:L253">C253/P253</f>
        <v>12.2199592668024</v>
      </c>
      <c r="M253" s="49" t="e">
        <f aca="false" t="array" ref="M253:M253">C253/Q253</f>
        <v>#VALUE!</v>
      </c>
      <c r="N253" s="49" t="n">
        <v>53789</v>
      </c>
      <c r="O253" s="49" t="n">
        <v>19342</v>
      </c>
      <c r="P253" s="45" t="n">
        <v>2946</v>
      </c>
      <c r="Q253" s="44" t="s">
        <v>34</v>
      </c>
      <c r="R253" s="46" t="n">
        <v>0.841</v>
      </c>
      <c r="S253" s="46" t="n">
        <v>0.004</v>
      </c>
      <c r="T253" s="44" t="s">
        <v>34</v>
      </c>
      <c r="U253" s="46" t="n">
        <v>0.0465</v>
      </c>
      <c r="V253" s="50"/>
      <c r="W253" s="45"/>
      <c r="X253" s="45"/>
      <c r="Y253" s="45"/>
      <c r="Z253" s="45"/>
      <c r="AA253" s="111" t="s">
        <v>103</v>
      </c>
    </row>
    <row r="254" customFormat="false" ht="18.9" hidden="false" customHeight="true" outlineLevel="0" collapsed="false">
      <c r="A254" s="44" t="s">
        <v>32</v>
      </c>
      <c r="B254" s="45" t="n">
        <v>4000</v>
      </c>
      <c r="C254" s="45" t="n">
        <v>5400</v>
      </c>
      <c r="D254" s="44" t="s">
        <v>36</v>
      </c>
      <c r="E254" s="45" t="str">
        <f aca="false" t="array" ref="E254:E254">IF(F254&gt;100,"T1",IF(F254&gt;50,"T2",IF(F254&gt;10,"T3",IF(F254&gt;1,"T4",IF(F254=0,"TBD","T5")))))</f>
        <v>T4</v>
      </c>
      <c r="F254" s="45" t="n">
        <v>5.2</v>
      </c>
      <c r="G254" s="46" t="n">
        <v>0.41</v>
      </c>
      <c r="H254" s="46" t="n">
        <v>0.052</v>
      </c>
      <c r="I254" s="46" t="n">
        <v>0.8906</v>
      </c>
      <c r="J254" s="46" t="n">
        <f aca="false" t="array" ref="J254:J254">O254/N254</f>
        <v>0.117191429433659</v>
      </c>
      <c r="K254" s="48" t="n">
        <f aca="false" t="array" ref="K254:K254">C254/O254</f>
        <v>4.63519313304721</v>
      </c>
      <c r="L254" s="48" t="n">
        <f aca="false" t="array" ref="L254:L254">C254/P254</f>
        <v>85.7142857142857</v>
      </c>
      <c r="M254" s="49" t="e">
        <f aca="false" t="array" ref="M254:M254">C254/Q254</f>
        <v>#VALUE!</v>
      </c>
      <c r="N254" s="49" t="n">
        <v>9941</v>
      </c>
      <c r="O254" s="49" t="n">
        <v>1165</v>
      </c>
      <c r="P254" s="45" t="n">
        <v>63</v>
      </c>
      <c r="Q254" s="44" t="s">
        <v>34</v>
      </c>
      <c r="R254" s="46" t="n">
        <v>0.648</v>
      </c>
      <c r="S254" s="46" t="n">
        <v>0.015</v>
      </c>
      <c r="T254" s="44" t="s">
        <v>34</v>
      </c>
      <c r="U254" s="46" t="n">
        <v>0.0352</v>
      </c>
      <c r="V254" s="50"/>
      <c r="W254" s="45"/>
      <c r="X254" s="45"/>
      <c r="Y254" s="45"/>
      <c r="Z254" s="51"/>
      <c r="AA254" s="126" t="s">
        <v>219</v>
      </c>
    </row>
    <row r="255" customFormat="false" ht="18.9" hidden="false" customHeight="true" outlineLevel="0" collapsed="false">
      <c r="A255" s="52" t="s">
        <v>32</v>
      </c>
      <c r="B255" s="53" t="n">
        <v>3800</v>
      </c>
      <c r="C255" s="53" t="n">
        <v>4500</v>
      </c>
      <c r="D255" s="52" t="s">
        <v>33</v>
      </c>
      <c r="E255" s="53" t="str">
        <f aca="false" t="array" ref="E255:E255">IF(F255&gt;100,"T1",IF(F255&gt;50,"T2",IF(F255&gt;10,"T3",IF(F255&gt;1,"T4",IF(F255=0,"TBD","T5")))))</f>
        <v>T4</v>
      </c>
      <c r="F255" s="53" t="n">
        <v>3.3</v>
      </c>
      <c r="G255" s="54" t="n">
        <v>0.392</v>
      </c>
      <c r="H255" s="54" t="n">
        <v>0.039</v>
      </c>
      <c r="I255" s="54" t="n">
        <v>0.8563</v>
      </c>
      <c r="J255" s="54" t="n">
        <f aca="false" t="array" ref="J255:J255">O255/N255</f>
        <v>0.110510805500982</v>
      </c>
      <c r="K255" s="56" t="n">
        <f aca="false" t="array" ref="K255:K255">B255/O255</f>
        <v>2.11111111111111</v>
      </c>
      <c r="L255" s="56" t="n">
        <f aca="false" t="array" ref="L255:L255">B255/P255</f>
        <v>6.47359454855196</v>
      </c>
      <c r="M255" s="57" t="n">
        <f aca="false" t="array" ref="M255:M255">B255/Q255</f>
        <v>30.6451612903226</v>
      </c>
      <c r="N255" s="57" t="n">
        <v>16288</v>
      </c>
      <c r="O255" s="57" t="n">
        <v>1800</v>
      </c>
      <c r="P255" s="53" t="n">
        <v>587</v>
      </c>
      <c r="Q255" s="53" t="n">
        <v>124</v>
      </c>
      <c r="R255" s="54" t="n">
        <v>0.686</v>
      </c>
      <c r="S255" s="54" t="n">
        <v>0.006</v>
      </c>
      <c r="T255" s="54" t="n">
        <v>0.2466</v>
      </c>
      <c r="U255" s="52" t="s">
        <v>34</v>
      </c>
      <c r="V255" s="58"/>
      <c r="W255" s="53"/>
      <c r="X255" s="53"/>
      <c r="Y255" s="53"/>
      <c r="Z255" s="59"/>
      <c r="AA255" s="43" t="s">
        <v>251</v>
      </c>
    </row>
    <row r="256" customFormat="false" ht="17.4" hidden="false" customHeight="true" outlineLevel="0" collapsed="false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4"/>
      <c r="W256" s="33"/>
      <c r="X256" s="33"/>
      <c r="Y256" s="33"/>
      <c r="Z256" s="33"/>
      <c r="AA256" s="127"/>
    </row>
    <row r="257" customFormat="false" ht="18.9" hidden="false" customHeight="true" outlineLevel="0" collapsed="false">
      <c r="A257" s="35" t="s">
        <v>32</v>
      </c>
      <c r="B257" s="36" t="n">
        <v>4800</v>
      </c>
      <c r="C257" s="36" t="n">
        <v>3600</v>
      </c>
      <c r="D257" s="35" t="s">
        <v>33</v>
      </c>
      <c r="E257" s="36" t="str">
        <f aca="false" t="array" ref="E257:E257">IF(F257&gt;100,"T1",IF(F257&gt;50,"T2",IF(F257&gt;10,"T3",IF(F257&gt;1,"T4",IF(F257=0,"TBD","T5")))))</f>
        <v>T4</v>
      </c>
      <c r="F257" s="36" t="n">
        <v>9.8</v>
      </c>
      <c r="G257" s="37" t="n">
        <v>0.095</v>
      </c>
      <c r="H257" s="37" t="n">
        <v>0.028</v>
      </c>
      <c r="I257" s="37" t="n">
        <v>0.9784</v>
      </c>
      <c r="J257" s="37" t="n">
        <f aca="false" t="array" ref="J257:J257">O257/N257</f>
        <v>0.162993278156294</v>
      </c>
      <c r="K257" s="39" t="n">
        <f aca="false" t="array" ref="K257:K257">B257/O257</f>
        <v>0.673306214055267</v>
      </c>
      <c r="L257" s="39" t="n">
        <f aca="false" t="array" ref="L257:L257">B257/P257</f>
        <v>16.6666666666667</v>
      </c>
      <c r="M257" s="40" t="e">
        <f aca="false" t="array" ref="M257:M257">B257/Q257</f>
        <v>#VALUE!</v>
      </c>
      <c r="N257" s="40" t="n">
        <v>43738</v>
      </c>
      <c r="O257" s="40" t="n">
        <v>7129</v>
      </c>
      <c r="P257" s="36" t="n">
        <v>288</v>
      </c>
      <c r="Q257" s="35" t="s">
        <v>34</v>
      </c>
      <c r="R257" s="37" t="n">
        <v>0.415</v>
      </c>
      <c r="S257" s="37" t="n">
        <v>0.181</v>
      </c>
      <c r="T257" s="35" t="s">
        <v>34</v>
      </c>
      <c r="U257" s="35" t="s">
        <v>34</v>
      </c>
      <c r="V257" s="41"/>
      <c r="W257" s="36"/>
      <c r="X257" s="36"/>
      <c r="Y257" s="36"/>
      <c r="Z257" s="36"/>
      <c r="AA257" s="111" t="s">
        <v>103</v>
      </c>
    </row>
    <row r="258" customFormat="false" ht="18.9" hidden="false" customHeight="true" outlineLevel="0" collapsed="false">
      <c r="A258" s="44" t="s">
        <v>32</v>
      </c>
      <c r="B258" s="44" t="s">
        <v>38</v>
      </c>
      <c r="C258" s="45" t="n">
        <v>20000</v>
      </c>
      <c r="D258" s="44" t="s">
        <v>33</v>
      </c>
      <c r="E258" s="45" t="str">
        <f aca="false" t="array" ref="E258:E258">IF(F258&gt;100,"T1",IF(F258&gt;50,"T2",IF(F258&gt;10,"T3",IF(F258&gt;1,"T4",IF(F258=0,"TBD","T5")))))</f>
        <v>T3</v>
      </c>
      <c r="F258" s="45" t="n">
        <v>23.2</v>
      </c>
      <c r="G258" s="46" t="n">
        <v>0.434</v>
      </c>
      <c r="H258" s="46" t="n">
        <v>0.024</v>
      </c>
      <c r="I258" s="46" t="n">
        <v>0.9634</v>
      </c>
      <c r="J258" s="46" t="n">
        <f aca="false" t="array" ref="J258:J258">O258/N258</f>
        <v>0.0883896744878374</v>
      </c>
      <c r="K258" s="48" t="n">
        <f aca="false" t="array" ref="K258:K258">C258/O258</f>
        <v>4.43164192333259</v>
      </c>
      <c r="L258" s="48" t="n">
        <f aca="false" t="array" ref="L258:L258">C258/P258</f>
        <v>17.4520069808028</v>
      </c>
      <c r="M258" s="49" t="n">
        <f aca="false" t="array" ref="M258:M258">C258/Q258</f>
        <v>178.571428571429</v>
      </c>
      <c r="N258" s="49" t="n">
        <v>51058</v>
      </c>
      <c r="O258" s="49" t="n">
        <v>4513</v>
      </c>
      <c r="P258" s="45" t="n">
        <v>1146</v>
      </c>
      <c r="Q258" s="45" t="n">
        <v>112</v>
      </c>
      <c r="R258" s="46" t="n">
        <v>0.791</v>
      </c>
      <c r="S258" s="46" t="n">
        <v>0.007</v>
      </c>
      <c r="T258" s="44" t="s">
        <v>34</v>
      </c>
      <c r="U258" s="46" t="n">
        <v>0.0996</v>
      </c>
      <c r="V258" s="50"/>
      <c r="W258" s="45"/>
      <c r="X258" s="45"/>
      <c r="Y258" s="45"/>
      <c r="Z258" s="51"/>
      <c r="AA258" s="128" t="s">
        <v>252</v>
      </c>
    </row>
    <row r="259" customFormat="false" ht="18.9" hidden="false" customHeight="true" outlineLevel="0" collapsed="false">
      <c r="A259" s="44" t="s">
        <v>32</v>
      </c>
      <c r="B259" s="45" t="n">
        <v>40000</v>
      </c>
      <c r="C259" s="45" t="n">
        <v>115000</v>
      </c>
      <c r="D259" s="44" t="s">
        <v>33</v>
      </c>
      <c r="E259" s="45" t="str">
        <f aca="false" t="array" ref="E259:E259">IF(F259&gt;100,"T1",IF(F259&gt;50,"T2",IF(F259&gt;10,"T3",IF(F259&gt;1,"T4",IF(F259=0,"TBD","T5")))))</f>
        <v>T2</v>
      </c>
      <c r="F259" s="45" t="n">
        <v>58.3</v>
      </c>
      <c r="G259" s="46" t="n">
        <v>0.387</v>
      </c>
      <c r="H259" s="46" t="n">
        <v>0.026</v>
      </c>
      <c r="I259" s="46" t="n">
        <v>0.9831</v>
      </c>
      <c r="J259" s="46" t="n">
        <f aca="false" t="array" ref="J259:J259">O259/N259</f>
        <v>0.18526481781929</v>
      </c>
      <c r="K259" s="48" t="n">
        <f aca="false" t="array" ref="K259:K259">C259/O259</f>
        <v>1.88240686178223</v>
      </c>
      <c r="L259" s="48" t="n">
        <f aca="false" t="array" ref="L259:L259">C259/P259</f>
        <v>21.2530031417483</v>
      </c>
      <c r="M259" s="49" t="n">
        <f aca="false" t="array" ref="M259:M259">C259/Q259</f>
        <v>13.2656592455877</v>
      </c>
      <c r="N259" s="49" t="n">
        <v>329755</v>
      </c>
      <c r="O259" s="49" t="n">
        <v>61092</v>
      </c>
      <c r="P259" s="49" t="n">
        <v>5411</v>
      </c>
      <c r="Q259" s="45" t="n">
        <v>8669</v>
      </c>
      <c r="R259" s="46" t="n">
        <v>0.435</v>
      </c>
      <c r="S259" s="46" t="n">
        <v>0.006</v>
      </c>
      <c r="T259" s="44" t="s">
        <v>34</v>
      </c>
      <c r="U259" s="46" t="n">
        <v>0.6205</v>
      </c>
      <c r="V259" s="50"/>
      <c r="W259" s="45"/>
      <c r="X259" s="45"/>
      <c r="Y259" s="45"/>
      <c r="Z259" s="45"/>
      <c r="AA259" s="111" t="s">
        <v>103</v>
      </c>
    </row>
    <row r="260" customFormat="false" ht="18.9" hidden="false" customHeight="true" outlineLevel="0" collapsed="false">
      <c r="A260" s="44" t="s">
        <v>32</v>
      </c>
      <c r="B260" s="45" t="n">
        <v>3000</v>
      </c>
      <c r="C260" s="45" t="n">
        <v>3000</v>
      </c>
      <c r="D260" s="44" t="s">
        <v>33</v>
      </c>
      <c r="E260" s="45" t="str">
        <f aca="false" t="array" ref="E260:E260">IF(F260&gt;100,"T1",IF(F260&gt;50,"T2",IF(F260&gt;10,"T3",IF(F260&gt;1,"T4",IF(F260=0,"TBD","T5")))))</f>
        <v>T4</v>
      </c>
      <c r="F260" s="45" t="n">
        <v>4</v>
      </c>
      <c r="G260" s="46" t="n">
        <v>0.473</v>
      </c>
      <c r="H260" s="46" t="n">
        <v>0.024</v>
      </c>
      <c r="I260" s="46" t="n">
        <v>0.9406</v>
      </c>
      <c r="J260" s="46" t="n">
        <f aca="false" t="array" ref="J260:J260">O260/N260</f>
        <v>0.146558530108376</v>
      </c>
      <c r="K260" s="48" t="n">
        <f aca="false" t="array" ref="K260:K260">B260/O260</f>
        <v>1.46914789422135</v>
      </c>
      <c r="L260" s="48" t="n">
        <f aca="false" t="array" ref="L260:L260">B260/P260</f>
        <v>10.9090909090909</v>
      </c>
      <c r="M260" s="49" t="n">
        <f aca="false" t="array" ref="M260:M260">B260/Q260</f>
        <v>600</v>
      </c>
      <c r="N260" s="49" t="n">
        <v>13933</v>
      </c>
      <c r="O260" s="49" t="n">
        <v>2042</v>
      </c>
      <c r="P260" s="45" t="n">
        <v>275</v>
      </c>
      <c r="Q260" s="45" t="n">
        <v>5</v>
      </c>
      <c r="R260" s="46" t="n">
        <v>0.826</v>
      </c>
      <c r="S260" s="46" t="n">
        <v>0.048</v>
      </c>
      <c r="T260" s="46" t="n">
        <v>0.1069</v>
      </c>
      <c r="U260" s="44" t="s">
        <v>34</v>
      </c>
      <c r="V260" s="50"/>
      <c r="W260" s="45"/>
      <c r="X260" s="45"/>
      <c r="Y260" s="45"/>
      <c r="Z260" s="51"/>
      <c r="AA260" s="126" t="s">
        <v>253</v>
      </c>
    </row>
    <row r="261" customFormat="false" ht="18.9" hidden="false" customHeight="true" outlineLevel="0" collapsed="false">
      <c r="A261" s="44" t="s">
        <v>32</v>
      </c>
      <c r="B261" s="45" t="n">
        <v>10000</v>
      </c>
      <c r="C261" s="45" t="n">
        <v>18000</v>
      </c>
      <c r="D261" s="44" t="s">
        <v>33</v>
      </c>
      <c r="E261" s="45" t="str">
        <f aca="false" t="array" ref="E261:E261">IF(F261&gt;100,"T1",IF(F261&gt;50,"T2",IF(F261&gt;10,"T3",IF(F261&gt;1,"T4",IF(F261=0,"TBD","T5")))))</f>
        <v>T3</v>
      </c>
      <c r="F261" s="45" t="n">
        <v>15.8</v>
      </c>
      <c r="G261" s="46" t="n">
        <v>0.483</v>
      </c>
      <c r="H261" s="46" t="n">
        <v>0.033</v>
      </c>
      <c r="I261" s="46" t="n">
        <v>0.9714</v>
      </c>
      <c r="J261" s="46" t="n">
        <f aca="false" t="array" ref="J261:J261">O261/N261</f>
        <v>0.138865460481567</v>
      </c>
      <c r="K261" s="48" t="n">
        <f aca="false" t="array" ref="K261:K261">C261/O261</f>
        <v>3.52664576802508</v>
      </c>
      <c r="L261" s="48" t="n">
        <f aca="false" t="array" ref="L261:L261">C261/P261</f>
        <v>17.7690029615005</v>
      </c>
      <c r="M261" s="49" t="n">
        <f aca="false" t="array" ref="M261:M261">C261/Q261</f>
        <v>54.2168674698795</v>
      </c>
      <c r="N261" s="49" t="n">
        <v>36755</v>
      </c>
      <c r="O261" s="49" t="n">
        <v>5104</v>
      </c>
      <c r="P261" s="49" t="n">
        <v>1013</v>
      </c>
      <c r="Q261" s="45" t="n">
        <v>332</v>
      </c>
      <c r="R261" s="46" t="n">
        <v>0.641</v>
      </c>
      <c r="S261" s="46" t="n">
        <v>0.029</v>
      </c>
      <c r="T261" s="46" t="n">
        <v>0.3534</v>
      </c>
      <c r="U261" s="44" t="s">
        <v>34</v>
      </c>
      <c r="V261" s="50"/>
      <c r="W261" s="45"/>
      <c r="X261" s="45"/>
      <c r="Y261" s="45"/>
      <c r="Z261" s="51"/>
      <c r="AA261" s="43" t="s">
        <v>254</v>
      </c>
    </row>
    <row r="262" customFormat="false" ht="18.9" hidden="false" customHeight="true" outlineLevel="0" collapsed="false">
      <c r="A262" s="44" t="s">
        <v>32</v>
      </c>
      <c r="B262" s="45" t="n">
        <v>6000</v>
      </c>
      <c r="C262" s="44" t="s">
        <v>38</v>
      </c>
      <c r="D262" s="44" t="s">
        <v>33</v>
      </c>
      <c r="E262" s="45" t="str">
        <f aca="false" t="array" ref="E262:E262">IF(F262&gt;100,"T1",IF(F262&gt;50,"T2",IF(F262&gt;10,"T3",IF(F262&gt;1,"T4",IF(F262=0,"TBD","T5")))))</f>
        <v>T4</v>
      </c>
      <c r="F262" s="45" t="n">
        <v>5.5</v>
      </c>
      <c r="G262" s="46" t="n">
        <v>0.35</v>
      </c>
      <c r="H262" s="46" t="n">
        <v>0.055</v>
      </c>
      <c r="I262" s="46" t="n">
        <v>0.9468</v>
      </c>
      <c r="J262" s="46" t="n">
        <f aca="false" t="array" ref="J262:J262">O262/N262</f>
        <v>0.256807187284036</v>
      </c>
      <c r="K262" s="48" t="n">
        <f aca="false" t="array" ref="K262:K262">B262/O262</f>
        <v>1.61463939720129</v>
      </c>
      <c r="L262" s="48" t="n">
        <f aca="false" t="array" ref="L262:L262">B262/P262</f>
        <v>8.16326530612245</v>
      </c>
      <c r="M262" s="49" t="n">
        <f aca="false" t="array" ref="M262:M262">B262/Q262</f>
        <v>43.7956204379562</v>
      </c>
      <c r="N262" s="49" t="n">
        <v>14470</v>
      </c>
      <c r="O262" s="49" t="n">
        <v>3716</v>
      </c>
      <c r="P262" s="45" t="n">
        <v>735</v>
      </c>
      <c r="Q262" s="45" t="n">
        <v>137</v>
      </c>
      <c r="R262" s="46" t="n">
        <v>0.615</v>
      </c>
      <c r="S262" s="46" t="n">
        <v>0.078</v>
      </c>
      <c r="T262" s="46" t="n">
        <v>0.2628</v>
      </c>
      <c r="U262" s="44" t="s">
        <v>34</v>
      </c>
      <c r="V262" s="50"/>
      <c r="W262" s="45"/>
      <c r="X262" s="45"/>
      <c r="Y262" s="45"/>
      <c r="Z262" s="51"/>
      <c r="AA262" s="43" t="s">
        <v>209</v>
      </c>
    </row>
    <row r="263" customFormat="false" ht="18.9" hidden="false" customHeight="true" outlineLevel="0" collapsed="false">
      <c r="A263" s="44" t="s">
        <v>32</v>
      </c>
      <c r="B263" s="45" t="n">
        <v>5000</v>
      </c>
      <c r="C263" s="45" t="n">
        <v>6000</v>
      </c>
      <c r="D263" s="44" t="s">
        <v>33</v>
      </c>
      <c r="E263" s="45" t="str">
        <f aca="false" t="array" ref="E263:E263">IF(F263&gt;100,"T1",IF(F263&gt;50,"T2",IF(F263&gt;10,"T3",IF(F263&gt;1,"T4",IF(F263=0,"TBD","T5")))))</f>
        <v>T4</v>
      </c>
      <c r="F263" s="45" t="n">
        <v>3.5</v>
      </c>
      <c r="G263" s="46" t="n">
        <v>0.313</v>
      </c>
      <c r="H263" s="46" t="n">
        <v>0.012</v>
      </c>
      <c r="I263" s="46" t="n">
        <v>0.9825</v>
      </c>
      <c r="J263" s="46" t="n">
        <f aca="false" t="array" ref="J263:J263">O263/N263</f>
        <v>0.195416030618792</v>
      </c>
      <c r="K263" s="48" t="n">
        <f aca="false" t="array" ref="K263:K263">B263/O263</f>
        <v>0.566059096569682</v>
      </c>
      <c r="L263" s="48" t="n">
        <f aca="false" t="array" ref="L263:L263">B263/P263</f>
        <v>14.0845070422535</v>
      </c>
      <c r="M263" s="49" t="n">
        <f aca="false" t="array" ref="M263:M263">B263/Q263</f>
        <v>46.2962962962963</v>
      </c>
      <c r="N263" s="49" t="n">
        <v>45201</v>
      </c>
      <c r="O263" s="49" t="n">
        <v>8833</v>
      </c>
      <c r="P263" s="45" t="n">
        <v>355</v>
      </c>
      <c r="Q263" s="45" t="n">
        <v>108</v>
      </c>
      <c r="R263" s="46" t="n">
        <v>0.951</v>
      </c>
      <c r="S263" s="46" t="n">
        <v>0.002</v>
      </c>
      <c r="T263" s="46" t="n">
        <v>0.2199</v>
      </c>
      <c r="U263" s="44" t="s">
        <v>34</v>
      </c>
      <c r="V263" s="50"/>
      <c r="W263" s="45"/>
      <c r="X263" s="45"/>
      <c r="Y263" s="45"/>
      <c r="Z263" s="51"/>
      <c r="AA263" s="43" t="s">
        <v>254</v>
      </c>
    </row>
    <row r="264" customFormat="false" ht="18.9" hidden="false" customHeight="true" outlineLevel="0" collapsed="false">
      <c r="A264" s="44" t="s">
        <v>32</v>
      </c>
      <c r="B264" s="45" t="n">
        <v>12000</v>
      </c>
      <c r="C264" s="45" t="n">
        <v>15000</v>
      </c>
      <c r="D264" s="44" t="s">
        <v>33</v>
      </c>
      <c r="E264" s="45" t="str">
        <f aca="false" t="array" ref="E264:E264">IF(F264&gt;100,"T1",IF(F264&gt;50,"T2",IF(F264&gt;10,"T3",IF(F264&gt;1,"T4",IF(F264=0,"TBD","T5")))))</f>
        <v>T3</v>
      </c>
      <c r="F264" s="45" t="n">
        <v>13.2</v>
      </c>
      <c r="G264" s="46" t="n">
        <v>0.311</v>
      </c>
      <c r="H264" s="46" t="n">
        <v>0.051</v>
      </c>
      <c r="I264" s="46" t="n">
        <v>0.9521</v>
      </c>
      <c r="J264" s="46" t="n">
        <f aca="false" t="array" ref="J264:J264">O264/N264</f>
        <v>0.105478687100577</v>
      </c>
      <c r="K264" s="48" t="n">
        <f aca="false" t="array" ref="K264:K264">C264/O264</f>
        <v>8.82352941176471</v>
      </c>
      <c r="L264" s="48" t="n">
        <f aca="false" t="array" ref="L264:L264">C264/P264</f>
        <v>22.7963525835866</v>
      </c>
      <c r="M264" s="49" t="e">
        <f aca="false" t="array" ref="M264:M264">C264/Q264</f>
        <v>#VALUE!</v>
      </c>
      <c r="N264" s="49" t="n">
        <v>16117</v>
      </c>
      <c r="O264" s="49" t="n">
        <v>1700</v>
      </c>
      <c r="P264" s="45" t="n">
        <v>658</v>
      </c>
      <c r="Q264" s="44" t="s">
        <v>34</v>
      </c>
      <c r="R264" s="46" t="n">
        <v>0.507</v>
      </c>
      <c r="S264" s="46" t="n">
        <v>0.031</v>
      </c>
      <c r="T264" s="44" t="s">
        <v>34</v>
      </c>
      <c r="U264" s="111" t="s">
        <v>255</v>
      </c>
      <c r="V264" s="50"/>
      <c r="W264" s="45"/>
      <c r="X264" s="45"/>
      <c r="Y264" s="45"/>
      <c r="Z264" s="51"/>
      <c r="AA264" s="43" t="s">
        <v>239</v>
      </c>
    </row>
    <row r="265" customFormat="false" ht="18.9" hidden="false" customHeight="true" outlineLevel="0" collapsed="false">
      <c r="A265" s="44" t="s">
        <v>32</v>
      </c>
      <c r="B265" s="45" t="n">
        <v>38000</v>
      </c>
      <c r="C265" s="45" t="n">
        <v>44000</v>
      </c>
      <c r="D265" s="44" t="s">
        <v>33</v>
      </c>
      <c r="E265" s="45" t="str">
        <f aca="false" t="array" ref="E265:E265">IF(F265&gt;100,"T1",IF(F265&gt;50,"T2",IF(F265&gt;10,"T3",IF(F265&gt;1,"T4",IF(F265=0,"TBD","T5")))))</f>
        <v>T3</v>
      </c>
      <c r="F265" s="45" t="n">
        <v>44.1</v>
      </c>
      <c r="G265" s="46" t="n">
        <v>0.378</v>
      </c>
      <c r="H265" s="46" t="n">
        <v>0.022</v>
      </c>
      <c r="I265" s="46" t="n">
        <v>0.9759</v>
      </c>
      <c r="J265" s="46" t="n">
        <f aca="false" t="array" ref="J265:J265">O265/N265</f>
        <v>0.104606760061507</v>
      </c>
      <c r="K265" s="48" t="n">
        <f aca="false" t="array" ref="K265:K265">C265/O265</f>
        <v>2.38663484486873</v>
      </c>
      <c r="L265" s="48" t="n">
        <f aca="false" t="array" ref="L265:L265">C265/P265</f>
        <v>19.9004975124378</v>
      </c>
      <c r="M265" s="49" t="n">
        <f aca="false" t="array" ref="M265:M265">C265/Q265</f>
        <v>19.8825124265703</v>
      </c>
      <c r="N265" s="49" t="n">
        <v>176241</v>
      </c>
      <c r="O265" s="49" t="n">
        <v>18436</v>
      </c>
      <c r="P265" s="45" t="n">
        <v>2211</v>
      </c>
      <c r="Q265" s="45" t="n">
        <v>2213</v>
      </c>
      <c r="R265" s="46" t="n">
        <v>0.755</v>
      </c>
      <c r="S265" s="46" t="n">
        <v>0.031</v>
      </c>
      <c r="T265" s="44" t="s">
        <v>34</v>
      </c>
      <c r="U265" s="46" t="n">
        <v>0.7055</v>
      </c>
      <c r="V265" s="50"/>
      <c r="W265" s="45"/>
      <c r="X265" s="45"/>
      <c r="Y265" s="45"/>
      <c r="Z265" s="51"/>
      <c r="AA265" s="43" t="s">
        <v>256</v>
      </c>
    </row>
    <row r="266" customFormat="false" ht="18.9" hidden="false" customHeight="true" outlineLevel="0" collapsed="false">
      <c r="A266" s="52" t="s">
        <v>32</v>
      </c>
      <c r="B266" s="53" t="n">
        <v>45000</v>
      </c>
      <c r="C266" s="53" t="n">
        <v>55000</v>
      </c>
      <c r="D266" s="52" t="s">
        <v>33</v>
      </c>
      <c r="E266" s="53" t="str">
        <f aca="false" t="array" ref="E266:E266">IF(F266&gt;100,"T1",IF(F266&gt;50,"T2",IF(F266&gt;10,"T3",IF(F266&gt;1,"T4",IF(F266=0,"TBD","T5")))))</f>
        <v>T3</v>
      </c>
      <c r="F266" s="53" t="n">
        <v>43.5</v>
      </c>
      <c r="G266" s="54" t="n">
        <v>0.407</v>
      </c>
      <c r="H266" s="54" t="n">
        <v>0.034</v>
      </c>
      <c r="I266" s="54" t="n">
        <v>0.5912</v>
      </c>
      <c r="J266" s="54" t="n">
        <f aca="false" t="array" ref="J266:J266">O266/N266</f>
        <v>0.0848444576564604</v>
      </c>
      <c r="K266" s="56" t="n">
        <f aca="false" t="array" ref="K266:K266">C266/O266</f>
        <v>5.66776586974444</v>
      </c>
      <c r="L266" s="56" t="n">
        <f aca="false" t="array" ref="L266:L266">C266/P266</f>
        <v>22.6337448559671</v>
      </c>
      <c r="M266" s="57" t="e">
        <f aca="false" t="array" ref="M266:M266">C266/Q266</f>
        <v>#VALUE!</v>
      </c>
      <c r="N266" s="57" t="n">
        <v>114374</v>
      </c>
      <c r="O266" s="57" t="n">
        <v>9704</v>
      </c>
      <c r="P266" s="57" t="n">
        <v>2430</v>
      </c>
      <c r="Q266" s="52" t="s">
        <v>34</v>
      </c>
      <c r="R266" s="54" t="n">
        <v>0.6</v>
      </c>
      <c r="S266" s="54" t="n">
        <v>0.011</v>
      </c>
      <c r="T266" s="52" t="s">
        <v>34</v>
      </c>
      <c r="U266" s="52" t="s">
        <v>34</v>
      </c>
      <c r="V266" s="58"/>
      <c r="W266" s="53"/>
      <c r="X266" s="53"/>
      <c r="Y266" s="53"/>
      <c r="Z266" s="59"/>
      <c r="AA266" s="43" t="s">
        <v>209</v>
      </c>
    </row>
    <row r="267" customFormat="false" ht="17.4" hidden="false" customHeight="true" outlineLevel="0" collapsed="false">
      <c r="A267" s="33"/>
      <c r="B267" s="33"/>
      <c r="C267" s="33"/>
      <c r="D267" s="33"/>
      <c r="E267" s="65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4"/>
      <c r="W267" s="33"/>
      <c r="X267" s="33"/>
      <c r="Y267" s="33"/>
      <c r="Z267" s="33"/>
      <c r="AA267" s="127"/>
    </row>
    <row r="268" customFormat="false" ht="18.9" hidden="false" customHeight="true" outlineLevel="0" collapsed="false">
      <c r="A268" s="35" t="s">
        <v>32</v>
      </c>
      <c r="B268" s="36" t="n">
        <v>53000</v>
      </c>
      <c r="C268" s="36" t="n">
        <v>63000</v>
      </c>
      <c r="D268" s="35" t="s">
        <v>36</v>
      </c>
      <c r="E268" s="36" t="str">
        <f aca="false" t="array" ref="E268:E268">IF(F268&gt;100,"T1",IF(F268&gt;50,"T2",IF(F268&gt;10,"T3",IF(F268&gt;1,"T4",IF(F268=0,"TBD","T5")))))</f>
        <v>T2</v>
      </c>
      <c r="F268" s="36" t="n">
        <v>56.8</v>
      </c>
      <c r="G268" s="37" t="n">
        <v>0.488</v>
      </c>
      <c r="H268" s="37" t="n">
        <v>0.021</v>
      </c>
      <c r="I268" s="37" t="n">
        <v>0.9691</v>
      </c>
      <c r="J268" s="37" t="n">
        <f aca="false" t="array" ref="J268:J268">O268/N268</f>
        <v>0.166822208502635</v>
      </c>
      <c r="K268" s="39" t="n">
        <f aca="false" t="array" ref="K268:K268">C268/O268</f>
        <v>2.71107668474051</v>
      </c>
      <c r="L268" s="39" t="n">
        <f aca="false" t="array" ref="L268:L268">C268/P268</f>
        <v>32.258064516129</v>
      </c>
      <c r="M268" s="40" t="n">
        <f aca="false" t="array" ref="M268:M268">C268/Q268</f>
        <v>900</v>
      </c>
      <c r="N268" s="40" t="n">
        <v>139298</v>
      </c>
      <c r="O268" s="40" t="n">
        <v>23238</v>
      </c>
      <c r="P268" s="40" t="n">
        <v>1953</v>
      </c>
      <c r="Q268" s="36" t="n">
        <v>70</v>
      </c>
      <c r="R268" s="37" t="n">
        <v>0.602</v>
      </c>
      <c r="S268" s="37" t="n">
        <v>0.016</v>
      </c>
      <c r="T268" s="35" t="s">
        <v>34</v>
      </c>
      <c r="U268" s="129" t="n">
        <v>0.2105</v>
      </c>
      <c r="V268" s="41"/>
      <c r="W268" s="36"/>
      <c r="X268" s="36"/>
      <c r="Y268" s="36"/>
      <c r="Z268" s="36"/>
      <c r="AA268" s="105" t="s">
        <v>103</v>
      </c>
    </row>
    <row r="269" customFormat="false" ht="18.9" hidden="false" customHeight="true" outlineLevel="0" collapsed="false">
      <c r="A269" s="44" t="s">
        <v>32</v>
      </c>
      <c r="B269" s="45" t="n">
        <v>50000</v>
      </c>
      <c r="C269" s="45" t="n">
        <v>60000</v>
      </c>
      <c r="D269" s="44" t="s">
        <v>36</v>
      </c>
      <c r="E269" s="45" t="str">
        <f aca="false" t="array" ref="E269:E269">IF(F269&gt;100,"T1",IF(F269&gt;50,"T2",IF(F269&gt;10,"T3",IF(F269&gt;1,"T4",IF(F269=0,"TBD","T5")))))</f>
        <v>T2</v>
      </c>
      <c r="F269" s="45" t="n">
        <v>51.3</v>
      </c>
      <c r="G269" s="46" t="n">
        <v>0.247</v>
      </c>
      <c r="H269" s="46" t="n">
        <v>0.034</v>
      </c>
      <c r="I269" s="46" t="n">
        <v>0.861</v>
      </c>
      <c r="J269" s="46" t="n">
        <f aca="false" t="array" ref="J269:J269">O269/N269</f>
        <v>0.139590678528586</v>
      </c>
      <c r="K269" s="48" t="n">
        <f aca="false" t="array" ref="K269:K269">C269/O269</f>
        <v>2.61734426801605</v>
      </c>
      <c r="L269" s="48" t="n">
        <f aca="false" t="array" ref="L269:L269">C269/P269</f>
        <v>44.1826215022091</v>
      </c>
      <c r="M269" s="49" t="n">
        <f aca="false" t="array" ref="M269:M269">C269/Q269</f>
        <v>495.867768595041</v>
      </c>
      <c r="N269" s="49" t="n">
        <v>164223</v>
      </c>
      <c r="O269" s="49" t="n">
        <v>22924</v>
      </c>
      <c r="P269" s="45" t="n">
        <v>1358</v>
      </c>
      <c r="Q269" s="45" t="n">
        <v>121</v>
      </c>
      <c r="R269" s="46" t="n">
        <v>0.681</v>
      </c>
      <c r="S269" s="46" t="n">
        <v>0.009</v>
      </c>
      <c r="T269" s="46" t="n">
        <v>0.0457</v>
      </c>
      <c r="U269" s="130" t="n">
        <v>0.2057</v>
      </c>
      <c r="V269" s="50"/>
      <c r="W269" s="45"/>
      <c r="X269" s="45"/>
      <c r="Y269" s="45"/>
      <c r="Z269" s="45"/>
      <c r="AA269" s="105" t="s">
        <v>257</v>
      </c>
    </row>
    <row r="270" customFormat="false" ht="18.9" hidden="false" customHeight="true" outlineLevel="0" collapsed="false">
      <c r="A270" s="44" t="s">
        <v>32</v>
      </c>
      <c r="B270" s="45" t="n">
        <v>50000</v>
      </c>
      <c r="C270" s="45" t="n">
        <v>43000</v>
      </c>
      <c r="D270" s="44" t="s">
        <v>33</v>
      </c>
      <c r="E270" s="45" t="str">
        <f aca="false" t="array" ref="E270:E270">IF(F270&gt;100,"T1",IF(F270&gt;50,"T2",IF(F270&gt;10,"T3",IF(F270&gt;1,"T4",IF(F270=0,"TBD","T5")))))</f>
        <v>T3</v>
      </c>
      <c r="F270" s="45" t="n">
        <v>38.7</v>
      </c>
      <c r="G270" s="46" t="n">
        <v>0.566</v>
      </c>
      <c r="H270" s="46" t="n">
        <v>0.019</v>
      </c>
      <c r="I270" s="46" t="n">
        <v>0.9857</v>
      </c>
      <c r="J270" s="46" t="n">
        <f aca="false" t="array" ref="J270:J270">O270/N270</f>
        <v>0.127216406750694</v>
      </c>
      <c r="K270" s="48" t="n">
        <f aca="false" t="array" ref="K270:K270">C270/O270</f>
        <v>2.57886529926832</v>
      </c>
      <c r="L270" s="48" t="n">
        <f aca="false" t="array" ref="L270:L270">C270/P270</f>
        <v>25.2941176470588</v>
      </c>
      <c r="M270" s="49" t="n">
        <f aca="false" t="array" ref="M270:M270">C270/Q270</f>
        <v>220.512820512821</v>
      </c>
      <c r="N270" s="49" t="n">
        <v>131068</v>
      </c>
      <c r="O270" s="49" t="n">
        <v>16674</v>
      </c>
      <c r="P270" s="49" t="n">
        <v>1700</v>
      </c>
      <c r="Q270" s="45" t="n">
        <v>195</v>
      </c>
      <c r="R270" s="46" t="n">
        <v>0.173</v>
      </c>
      <c r="S270" s="46" t="n">
        <v>0.097</v>
      </c>
      <c r="T270" s="44" t="s">
        <v>34</v>
      </c>
      <c r="U270" s="44" t="s">
        <v>34</v>
      </c>
      <c r="V270" s="50"/>
      <c r="W270" s="45"/>
      <c r="X270" s="45"/>
      <c r="Y270" s="45"/>
      <c r="Z270" s="45"/>
      <c r="AA270" s="105" t="s">
        <v>103</v>
      </c>
    </row>
    <row r="271" customFormat="false" ht="18.9" hidden="false" customHeight="true" outlineLevel="0" collapsed="false">
      <c r="A271" s="44" t="s">
        <v>32</v>
      </c>
      <c r="B271" s="45" t="n">
        <v>7500</v>
      </c>
      <c r="C271" s="45" t="n">
        <v>3500</v>
      </c>
      <c r="D271" s="44" t="s">
        <v>33</v>
      </c>
      <c r="E271" s="45" t="str">
        <f aca="false" t="array" ref="E271:E271">IF(F271&gt;100,"T1",IF(F271&gt;50,"T2",IF(F271&gt;10,"T3",IF(F271&gt;1,"T4",IF(F271=0,"TBD","T5")))))</f>
        <v>T4</v>
      </c>
      <c r="F271" s="45" t="n">
        <v>3.1</v>
      </c>
      <c r="G271" s="46" t="n">
        <v>0.278</v>
      </c>
      <c r="H271" s="46" t="n">
        <v>0.064</v>
      </c>
      <c r="I271" s="46" t="n">
        <v>0.9088</v>
      </c>
      <c r="J271" s="46" t="n">
        <f aca="false" t="array" ref="J271:J271">O271/N271</f>
        <v>0.0570656131663268</v>
      </c>
      <c r="K271" s="48" t="n">
        <f aca="false" t="array" ref="K271:K271">B271/O271</f>
        <v>1.19636305630882</v>
      </c>
      <c r="L271" s="48" t="n">
        <f aca="false" t="array" ref="L271:L271">B271/P271</f>
        <v>18.3823529411765</v>
      </c>
      <c r="M271" s="49" t="n">
        <f aca="false" t="array" ref="M271:M271">B271/Q271</f>
        <v>6.30252100840336</v>
      </c>
      <c r="N271" s="45" t="n">
        <v>109856</v>
      </c>
      <c r="O271" s="45" t="n">
        <v>6269</v>
      </c>
      <c r="P271" s="45" t="n">
        <v>408</v>
      </c>
      <c r="Q271" s="45" t="n">
        <v>1190</v>
      </c>
      <c r="R271" s="46" t="n">
        <v>0.855</v>
      </c>
      <c r="S271" s="46" t="n">
        <v>0.134</v>
      </c>
      <c r="T271" s="46" t="n">
        <v>0.4896</v>
      </c>
      <c r="U271" s="44" t="s">
        <v>34</v>
      </c>
      <c r="V271" s="50"/>
      <c r="W271" s="45"/>
      <c r="X271" s="45"/>
      <c r="Y271" s="45"/>
      <c r="Z271" s="45"/>
      <c r="AA271" s="105" t="s">
        <v>258</v>
      </c>
    </row>
    <row r="272" customFormat="false" ht="18.9" hidden="false" customHeight="true" outlineLevel="0" collapsed="false">
      <c r="A272" s="44" t="s">
        <v>32</v>
      </c>
      <c r="B272" s="45" t="n">
        <v>2800</v>
      </c>
      <c r="C272" s="45" t="n">
        <v>3800</v>
      </c>
      <c r="D272" s="44" t="s">
        <v>33</v>
      </c>
      <c r="E272" s="45" t="str">
        <f aca="false" t="array" ref="E272:E272">IF(F272&gt;100,"T1",IF(F272&gt;50,"T2",IF(F272&gt;10,"T3",IF(F272&gt;1,"T4",IF(F272=0,"TBD","T5")))))</f>
        <v>T4</v>
      </c>
      <c r="F272" s="45" t="n">
        <v>2.9</v>
      </c>
      <c r="G272" s="46" t="n">
        <v>0.265</v>
      </c>
      <c r="H272" s="46" t="n">
        <v>0.035</v>
      </c>
      <c r="I272" s="46" t="n">
        <v>0.865</v>
      </c>
      <c r="J272" s="46" t="n">
        <f aca="false" t="array" ref="J272:J272">O272/N272</f>
        <v>0.0647050446794119</v>
      </c>
      <c r="K272" s="48" t="n">
        <f aca="false" t="array" ref="K272:K272">B272/O272</f>
        <v>0.770288858321871</v>
      </c>
      <c r="L272" s="48" t="n">
        <f aca="false" t="array" ref="L272:L272">B272/P272</f>
        <v>9.62199312714777</v>
      </c>
      <c r="M272" s="49" t="n">
        <f aca="false" t="array" ref="M272:M272">B272/Q272</f>
        <v>8.88888888888889</v>
      </c>
      <c r="N272" s="45" t="n">
        <v>56178</v>
      </c>
      <c r="O272" s="45" t="n">
        <v>3635</v>
      </c>
      <c r="P272" s="45" t="n">
        <v>291</v>
      </c>
      <c r="Q272" s="45" t="n">
        <v>315</v>
      </c>
      <c r="R272" s="46" t="n">
        <v>0.418</v>
      </c>
      <c r="S272" s="46" t="n">
        <v>0.542</v>
      </c>
      <c r="T272" s="46" t="n">
        <v>0.2694</v>
      </c>
      <c r="U272" s="44" t="s">
        <v>34</v>
      </c>
      <c r="V272" s="50"/>
      <c r="W272" s="45"/>
      <c r="X272" s="45"/>
      <c r="Y272" s="45"/>
      <c r="Z272" s="45"/>
      <c r="AA272" s="105" t="s">
        <v>259</v>
      </c>
    </row>
    <row r="273" customFormat="false" ht="18.9" hidden="false" customHeight="true" outlineLevel="0" collapsed="false">
      <c r="A273" s="44" t="s">
        <v>32</v>
      </c>
      <c r="B273" s="45" t="n">
        <v>2500</v>
      </c>
      <c r="C273" s="45" t="n">
        <v>2000</v>
      </c>
      <c r="D273" s="44" t="s">
        <v>33</v>
      </c>
      <c r="E273" s="45" t="str">
        <f aca="false" t="array" ref="E273:E273">IF(F273&gt;100,"T1",IF(F273&gt;50,"T2",IF(F273&gt;10,"T3",IF(F273&gt;1,"T4",IF(F273=0,"TBD","T5")))))</f>
        <v>T4</v>
      </c>
      <c r="F273" s="45" t="n">
        <v>2.8</v>
      </c>
      <c r="G273" s="46" t="n">
        <v>0.153</v>
      </c>
      <c r="H273" s="46" t="n">
        <v>0.057</v>
      </c>
      <c r="I273" s="46" t="n">
        <v>0.8367</v>
      </c>
      <c r="J273" s="46" t="n">
        <f aca="false" t="array" ref="J273:J273">O273/N273</f>
        <v>0.0826347543856156</v>
      </c>
      <c r="K273" s="48" t="n">
        <f aca="false" t="array" ref="K273:K273">B273/O273</f>
        <v>0.301204819277108</v>
      </c>
      <c r="L273" s="48" t="n">
        <f aca="false" t="array" ref="L273:L273">B273/P273</f>
        <v>4.60405156537753</v>
      </c>
      <c r="M273" s="49" t="n">
        <f aca="false" t="array" ref="M273:M273">B273/Q273</f>
        <v>0.405646600681486</v>
      </c>
      <c r="N273" s="45" t="n">
        <v>100442</v>
      </c>
      <c r="O273" s="45" t="n">
        <v>8300</v>
      </c>
      <c r="P273" s="45" t="n">
        <v>543</v>
      </c>
      <c r="Q273" s="45" t="n">
        <v>6163</v>
      </c>
      <c r="R273" s="46" t="n">
        <v>0.581</v>
      </c>
      <c r="S273" s="46" t="n">
        <v>0.407</v>
      </c>
      <c r="T273" s="46" t="n">
        <v>0.3342</v>
      </c>
      <c r="U273" s="44" t="s">
        <v>34</v>
      </c>
      <c r="V273" s="50"/>
      <c r="W273" s="45"/>
      <c r="X273" s="45"/>
      <c r="Y273" s="45"/>
      <c r="Z273" s="45"/>
      <c r="AA273" s="105" t="s">
        <v>260</v>
      </c>
    </row>
    <row r="274" customFormat="false" ht="17.4" hidden="false" customHeight="true" outlineLevel="0" collapsed="false">
      <c r="A274" s="44" t="s">
        <v>32</v>
      </c>
      <c r="B274" s="45" t="n">
        <v>5000</v>
      </c>
      <c r="C274" s="45" t="n">
        <v>2500</v>
      </c>
      <c r="D274" s="44" t="s">
        <v>33</v>
      </c>
      <c r="E274" s="45" t="str">
        <f aca="false" t="array" ref="E274:E274">IF(F274&gt;100,"T1",IF(F274&gt;50,"T2",IF(F274&gt;10,"T3",IF(F274&gt;1,"T4",IF(F274=0,"TBD","T5")))))</f>
        <v>T4</v>
      </c>
      <c r="F274" s="45" t="n">
        <v>2.4</v>
      </c>
      <c r="G274" s="46" t="n">
        <v>0.464</v>
      </c>
      <c r="H274" s="46" t="n">
        <v>0.038</v>
      </c>
      <c r="I274" s="46" t="n">
        <v>0.9027</v>
      </c>
      <c r="J274" s="46" t="n">
        <f aca="false" t="array" ref="J274:J274">O274/N274</f>
        <v>0.0613446783212886</v>
      </c>
      <c r="K274" s="48" t="n">
        <f aca="false" t="array" ref="K274:K274">B274/O274</f>
        <v>1.51423379769836</v>
      </c>
      <c r="L274" s="48" t="n">
        <f aca="false" t="array" ref="L274:L274">B274/P274</f>
        <v>19.6078431372549</v>
      </c>
      <c r="M274" s="49" t="n">
        <f aca="false" t="array" ref="M274:M274">B274/Q274</f>
        <v>10.5485232067511</v>
      </c>
      <c r="N274" s="45" t="n">
        <v>53827</v>
      </c>
      <c r="O274" s="45" t="n">
        <v>3302</v>
      </c>
      <c r="P274" s="45" t="n">
        <v>255</v>
      </c>
      <c r="Q274" s="45" t="n">
        <v>474</v>
      </c>
      <c r="R274" s="46" t="n">
        <v>0.667</v>
      </c>
      <c r="S274" s="46" t="n">
        <v>0.282</v>
      </c>
      <c r="T274" s="46" t="n">
        <v>0.205</v>
      </c>
      <c r="U274" s="44" t="s">
        <v>34</v>
      </c>
      <c r="V274" s="77"/>
      <c r="W274" s="73"/>
      <c r="X274" s="73"/>
      <c r="Y274" s="73"/>
      <c r="Z274" s="73"/>
      <c r="AA274" s="105" t="s">
        <v>261</v>
      </c>
    </row>
    <row r="275" customFormat="false" ht="17.4" hidden="false" customHeight="true" outlineLevel="0" collapsed="false">
      <c r="A275" s="44" t="s">
        <v>32</v>
      </c>
      <c r="B275" s="45" t="n">
        <v>3500</v>
      </c>
      <c r="C275" s="44" t="s">
        <v>38</v>
      </c>
      <c r="D275" s="44" t="s">
        <v>33</v>
      </c>
      <c r="E275" s="45" t="str">
        <f aca="false" t="array" ref="E275:E275">IF(F275&gt;100,"T1",IF(F275&gt;50,"T2",IF(F275&gt;10,"T3",IF(F275&gt;1,"T4",IF(F275=0,"TBD","T5")))))</f>
        <v>T4</v>
      </c>
      <c r="F275" s="45" t="n">
        <v>1.8</v>
      </c>
      <c r="G275" s="46" t="n">
        <v>0.243</v>
      </c>
      <c r="H275" s="46" t="n">
        <v>0.092</v>
      </c>
      <c r="I275" s="46" t="n">
        <v>0.799</v>
      </c>
      <c r="J275" s="46" t="n">
        <f aca="false" t="array" ref="J275:J275">O275/N275</f>
        <v>0.118974455947935</v>
      </c>
      <c r="K275" s="48" t="n">
        <f aca="false" t="array" ref="K275:K275">B275/O275</f>
        <v>0.463576158940397</v>
      </c>
      <c r="L275" s="48" t="n">
        <f aca="false" t="array" ref="L275:L275">B275/P275</f>
        <v>6.27240143369176</v>
      </c>
      <c r="M275" s="49" t="n">
        <f aca="false" t="array" ref="M275:M275">B275/Q275</f>
        <v>4.50450450450451</v>
      </c>
      <c r="N275" s="45" t="n">
        <v>63459</v>
      </c>
      <c r="O275" s="45" t="n">
        <v>7550</v>
      </c>
      <c r="P275" s="45" t="n">
        <v>558</v>
      </c>
      <c r="Q275" s="45" t="n">
        <v>777</v>
      </c>
      <c r="R275" s="46" t="n">
        <v>0.653</v>
      </c>
      <c r="S275" s="46" t="n">
        <v>0.311</v>
      </c>
      <c r="T275" s="46" t="n">
        <v>0.3401</v>
      </c>
      <c r="U275" s="44" t="s">
        <v>34</v>
      </c>
      <c r="V275" s="77"/>
      <c r="W275" s="73"/>
      <c r="X275" s="73"/>
      <c r="Y275" s="73"/>
      <c r="Z275" s="73"/>
      <c r="AA275" s="105" t="s">
        <v>262</v>
      </c>
    </row>
    <row r="276" customFormat="false" ht="34.8" hidden="false" customHeight="true" outlineLevel="0" collapsed="false">
      <c r="A276" s="44" t="s">
        <v>32</v>
      </c>
      <c r="B276" s="45" t="n">
        <v>3800</v>
      </c>
      <c r="C276" s="45" t="n">
        <v>3800</v>
      </c>
      <c r="D276" s="44" t="s">
        <v>33</v>
      </c>
      <c r="E276" s="45" t="str">
        <f aca="false" t="array" ref="E276:E276">IF(F276&gt;100,"T1",IF(F276&gt;50,"T2",IF(F276&gt;10,"T3",IF(F276&gt;1,"T4",IF(F276=0,"TBD","T5")))))</f>
        <v>T4</v>
      </c>
      <c r="F276" s="45" t="n">
        <v>1.4</v>
      </c>
      <c r="G276" s="46" t="n">
        <v>0.18</v>
      </c>
      <c r="H276" s="46" t="n">
        <v>0.07</v>
      </c>
      <c r="I276" s="46" t="n">
        <v>0.9458</v>
      </c>
      <c r="J276" s="46" t="n">
        <f aca="false" t="array" ref="J276:J276">O276/N276</f>
        <v>0.0472963766996994</v>
      </c>
      <c r="K276" s="48" t="n">
        <f aca="false" t="array" ref="K276:K276">B276/O276</f>
        <v>0.729786825427309</v>
      </c>
      <c r="L276" s="48" t="n">
        <f aca="false" t="array" ref="L276:L276">B276/P276</f>
        <v>26.9503546099291</v>
      </c>
      <c r="M276" s="49" t="n">
        <f aca="false" t="array" ref="M276:M276">B276/Q276</f>
        <v>18.8118811881188</v>
      </c>
      <c r="N276" s="45" t="n">
        <v>110093</v>
      </c>
      <c r="O276" s="45" t="n">
        <v>5207</v>
      </c>
      <c r="P276" s="45" t="n">
        <v>141</v>
      </c>
      <c r="Q276" s="45" t="n">
        <v>202</v>
      </c>
      <c r="R276" s="46" t="n">
        <v>0.745</v>
      </c>
      <c r="S276" s="46" t="n">
        <v>0.234</v>
      </c>
      <c r="T276" s="46" t="n">
        <v>0.2481</v>
      </c>
      <c r="U276" s="44" t="s">
        <v>34</v>
      </c>
      <c r="V276" s="77"/>
      <c r="W276" s="73"/>
      <c r="X276" s="73"/>
      <c r="Y276" s="73"/>
      <c r="Z276" s="73"/>
      <c r="AA276" s="105" t="s">
        <v>263</v>
      </c>
    </row>
    <row r="277" customFormat="false" ht="34.8" hidden="false" customHeight="true" outlineLevel="0" collapsed="false">
      <c r="A277" s="44" t="s">
        <v>32</v>
      </c>
      <c r="B277" s="45" t="n">
        <v>2800</v>
      </c>
      <c r="C277" s="45" t="n">
        <v>2000</v>
      </c>
      <c r="D277" s="44" t="s">
        <v>33</v>
      </c>
      <c r="E277" s="45" t="str">
        <f aca="false" t="array" ref="E277:E277">IF(F277&gt;100,"T1",IF(F277&gt;50,"T2",IF(F277&gt;10,"T3",IF(F277&gt;1,"T4",IF(F277=0,"TBD","T5")))))</f>
        <v>T4</v>
      </c>
      <c r="F277" s="45" t="n">
        <v>1.1</v>
      </c>
      <c r="G277" s="46" t="n">
        <v>0.143</v>
      </c>
      <c r="H277" s="46" t="n">
        <v>0.042</v>
      </c>
      <c r="I277" s="46" t="n">
        <v>0.7737</v>
      </c>
      <c r="J277" s="46" t="n">
        <f aca="false" t="array" ref="J277:J277">O277/N277</f>
        <v>0.152900763358779</v>
      </c>
      <c r="K277" s="48" t="n">
        <f aca="false" t="array" ref="K277:K277">B277/O277</f>
        <v>0.465967715094026</v>
      </c>
      <c r="L277" s="48" t="n">
        <f aca="false" t="array" ref="L277:L277">B277/P277</f>
        <v>13.2701421800948</v>
      </c>
      <c r="M277" s="49" t="n">
        <f aca="false" t="array" ref="M277:M277">B277/Q277</f>
        <v>127.272727272727</v>
      </c>
      <c r="N277" s="45" t="n">
        <v>39300</v>
      </c>
      <c r="O277" s="45" t="n">
        <v>6009</v>
      </c>
      <c r="P277" s="45" t="n">
        <v>211</v>
      </c>
      <c r="Q277" s="45" t="n">
        <v>22</v>
      </c>
      <c r="R277" s="46" t="n">
        <v>0.697</v>
      </c>
      <c r="S277" s="46" t="n">
        <v>0.024</v>
      </c>
      <c r="T277" s="46" t="n">
        <v>0.5879</v>
      </c>
      <c r="U277" s="44" t="s">
        <v>34</v>
      </c>
      <c r="V277" s="77"/>
      <c r="W277" s="73"/>
      <c r="X277" s="73"/>
      <c r="Y277" s="73"/>
      <c r="Z277" s="73"/>
      <c r="AA277" s="105" t="s">
        <v>264</v>
      </c>
    </row>
    <row r="278" customFormat="false" ht="18.9" hidden="false" customHeight="true" outlineLevel="0" collapsed="false">
      <c r="A278" s="44" t="s">
        <v>32</v>
      </c>
      <c r="B278" s="45" t="n">
        <v>6500</v>
      </c>
      <c r="C278" s="45" t="n">
        <v>7000</v>
      </c>
      <c r="D278" s="44" t="s">
        <v>33</v>
      </c>
      <c r="E278" s="45" t="str">
        <f aca="false" t="array" ref="E278:E278">IF(F278&gt;100,"T1",IF(F278&gt;50,"T2",IF(F278&gt;10,"T3",IF(F278&gt;1,"T4",IF(F278=0,"TBD","T5")))))</f>
        <v>T4</v>
      </c>
      <c r="F278" s="45" t="n">
        <v>4.8</v>
      </c>
      <c r="G278" s="46" t="n">
        <v>0.37</v>
      </c>
      <c r="H278" s="46" t="n">
        <v>0.039</v>
      </c>
      <c r="I278" s="46" t="n">
        <v>0.8927</v>
      </c>
      <c r="J278" s="46" t="n">
        <f aca="false" t="array" ref="J278:J278">O278/N278</f>
        <v>0.405431708281378</v>
      </c>
      <c r="K278" s="48" t="n">
        <f aca="false" t="array" ref="K278:K278">B278/O278</f>
        <v>0.487585327432301</v>
      </c>
      <c r="L278" s="48" t="n">
        <f aca="false" t="array" ref="L278:L278">B278/P278</f>
        <v>5.67190226876091</v>
      </c>
      <c r="M278" s="49" t="n">
        <f aca="false" t="array" ref="M278:M278">B278/Q278</f>
        <v>722.222222222222</v>
      </c>
      <c r="N278" s="45" t="n">
        <v>32881</v>
      </c>
      <c r="O278" s="45" t="n">
        <v>13331</v>
      </c>
      <c r="P278" s="45" t="n">
        <v>1146</v>
      </c>
      <c r="Q278" s="45" t="n">
        <v>9</v>
      </c>
      <c r="R278" s="46" t="n">
        <v>0.912</v>
      </c>
      <c r="S278" s="46" t="n">
        <v>0.003</v>
      </c>
      <c r="T278" s="46" t="n">
        <v>0.5783</v>
      </c>
      <c r="U278" s="44" t="s">
        <v>34</v>
      </c>
      <c r="V278" s="77"/>
      <c r="W278" s="73"/>
      <c r="X278" s="73"/>
      <c r="Y278" s="73"/>
      <c r="Z278" s="73"/>
      <c r="AA278" s="105" t="s">
        <v>265</v>
      </c>
    </row>
    <row r="279" customFormat="false" ht="34.8" hidden="false" customHeight="true" outlineLevel="0" collapsed="false">
      <c r="A279" s="52" t="s">
        <v>32</v>
      </c>
      <c r="B279" s="53" t="n">
        <v>6500</v>
      </c>
      <c r="C279" s="52" t="s">
        <v>38</v>
      </c>
      <c r="D279" s="52" t="s">
        <v>33</v>
      </c>
      <c r="E279" s="53" t="str">
        <f aca="false" t="array" ref="E279:E279">IF(F279&gt;100,"T1",IF(F279&gt;50,"T2",IF(F279&gt;10,"T3",IF(F279&gt;1,"T4",IF(F279=0,"TBD","T5")))))</f>
        <v>T3</v>
      </c>
      <c r="F279" s="53" t="n">
        <v>13.5</v>
      </c>
      <c r="G279" s="54" t="n">
        <v>0.139</v>
      </c>
      <c r="H279" s="54" t="n">
        <v>0.037</v>
      </c>
      <c r="I279" s="54" t="n">
        <v>0.9822</v>
      </c>
      <c r="J279" s="54" t="n">
        <f aca="false" t="array" ref="J279:J279">O279/N279</f>
        <v>0.120181438757173</v>
      </c>
      <c r="K279" s="56" t="n">
        <f aca="false" t="array" ref="K279:K279">B279/O279</f>
        <v>0.391896780417219</v>
      </c>
      <c r="L279" s="56" t="n">
        <f aca="false" t="array" ref="L279:L279">B279/P279</f>
        <v>3.37311883757135</v>
      </c>
      <c r="M279" s="57" t="e">
        <f aca="false" t="array" ref="M279:M279">B279/Q279</f>
        <v>#VALUE!</v>
      </c>
      <c r="N279" s="53" t="n">
        <v>138008</v>
      </c>
      <c r="O279" s="53" t="n">
        <v>16586</v>
      </c>
      <c r="P279" s="53" t="n">
        <v>1927</v>
      </c>
      <c r="Q279" s="52" t="s">
        <v>34</v>
      </c>
      <c r="R279" s="54" t="n">
        <v>0.548</v>
      </c>
      <c r="S279" s="54" t="n">
        <v>0.064</v>
      </c>
      <c r="T279" s="54" t="n">
        <v>0.3152</v>
      </c>
      <c r="U279" s="52" t="s">
        <v>34</v>
      </c>
      <c r="V279" s="107"/>
      <c r="W279" s="92"/>
      <c r="X279" s="92"/>
      <c r="Y279" s="92"/>
      <c r="Z279" s="92"/>
      <c r="AA279" s="105" t="s">
        <v>266</v>
      </c>
    </row>
    <row r="280" customFormat="false" ht="17.4" hidden="false" customHeight="true" outlineLevel="0" collapsed="false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  <c r="W280" s="33"/>
      <c r="X280" s="33"/>
      <c r="Y280" s="33"/>
      <c r="Z280" s="33"/>
      <c r="AA280" s="131"/>
    </row>
    <row r="281" customFormat="false" ht="18.9" hidden="false" customHeight="true" outlineLevel="0" collapsed="false">
      <c r="A281" s="35" t="s">
        <v>32</v>
      </c>
      <c r="B281" s="36" t="n">
        <v>2500</v>
      </c>
      <c r="C281" s="36" t="n">
        <v>3000</v>
      </c>
      <c r="D281" s="35" t="s">
        <v>33</v>
      </c>
      <c r="E281" s="36" t="str">
        <f aca="false" t="array" ref="E281:E281">IF(F281&gt;100,"T1",IF(F281&gt;50,"T2",IF(F281&gt;10,"T3",IF(F281&gt;1,"T4",IF(F281=0,"TBD","T5")))))</f>
        <v>T4</v>
      </c>
      <c r="F281" s="36" t="n">
        <v>3.9</v>
      </c>
      <c r="G281" s="37" t="n">
        <v>0.189</v>
      </c>
      <c r="H281" s="37" t="n">
        <v>0.032</v>
      </c>
      <c r="I281" s="37" t="n">
        <v>0.8216</v>
      </c>
      <c r="J281" s="37" t="n">
        <f aca="false" t="array" ref="J281:J281">O281/N281</f>
        <v>0.147439504783343</v>
      </c>
      <c r="K281" s="39" t="n">
        <f aca="false" t="array" ref="K281:K281">B281/O281</f>
        <v>0.454380225372592</v>
      </c>
      <c r="L281" s="39" t="n">
        <f aca="false" t="array" ref="L281:L281">B281/P281</f>
        <v>9.84251968503937</v>
      </c>
      <c r="M281" s="40" t="n">
        <f aca="false" t="array" ref="M281:M281">B281/Q281</f>
        <v>6.23441396508728</v>
      </c>
      <c r="N281" s="40" t="n">
        <v>37317</v>
      </c>
      <c r="O281" s="36" t="n">
        <v>5502</v>
      </c>
      <c r="P281" s="36" t="n">
        <v>254</v>
      </c>
      <c r="Q281" s="36" t="n">
        <v>401</v>
      </c>
      <c r="R281" s="37" t="n">
        <v>0.944</v>
      </c>
      <c r="S281" s="37" t="n">
        <v>0.007</v>
      </c>
      <c r="T281" s="37" t="n">
        <v>0.4908</v>
      </c>
      <c r="U281" s="35" t="s">
        <v>34</v>
      </c>
      <c r="V281" s="102"/>
      <c r="W281" s="83"/>
      <c r="X281" s="83"/>
      <c r="Y281" s="83"/>
      <c r="Z281" s="103"/>
      <c r="AA281" s="89" t="s">
        <v>267</v>
      </c>
    </row>
    <row r="282" customFormat="false" ht="18.9" hidden="false" customHeight="true" outlineLevel="0" collapsed="false">
      <c r="A282" s="44" t="s">
        <v>32</v>
      </c>
      <c r="B282" s="45" t="n">
        <v>25000</v>
      </c>
      <c r="C282" s="45" t="n">
        <v>37500</v>
      </c>
      <c r="D282" s="44" t="s">
        <v>33</v>
      </c>
      <c r="E282" s="45" t="str">
        <f aca="false" t="array" ref="E282:E282">IF(F282&gt;100,"T1",IF(F282&gt;50,"T2",IF(F282&gt;10,"T3",IF(F282&gt;1,"T4",IF(F282=0,"TBD","T5")))))</f>
        <v>T3</v>
      </c>
      <c r="F282" s="45" t="n">
        <v>42.9</v>
      </c>
      <c r="G282" s="46" t="n">
        <v>0.272</v>
      </c>
      <c r="H282" s="46" t="n">
        <v>0.031</v>
      </c>
      <c r="I282" s="46" t="n">
        <v>0.9691</v>
      </c>
      <c r="J282" s="46" t="n">
        <f aca="false" t="array" ref="J282:J282">O282/N282</f>
        <v>0.0791948280928592</v>
      </c>
      <c r="K282" s="48" t="n">
        <f aca="false" t="array" ref="K282:K282">C282/O282</f>
        <v>7.73036487322202</v>
      </c>
      <c r="L282" s="48" t="n">
        <f aca="false" t="array" ref="L282:L282">C282/P282</f>
        <v>33.4224598930481</v>
      </c>
      <c r="M282" s="49" t="n">
        <f aca="false" t="array" ref="M282:M282">C282/Q282</f>
        <v>344.036697247706</v>
      </c>
      <c r="N282" s="49" t="n">
        <v>61254</v>
      </c>
      <c r="O282" s="45" t="n">
        <v>4851</v>
      </c>
      <c r="P282" s="49" t="n">
        <v>1122</v>
      </c>
      <c r="Q282" s="45" t="n">
        <v>109</v>
      </c>
      <c r="R282" s="46" t="n">
        <v>0.558</v>
      </c>
      <c r="S282" s="46" t="n">
        <v>0.022</v>
      </c>
      <c r="T282" s="44" t="s">
        <v>34</v>
      </c>
      <c r="U282" s="46" t="n">
        <v>0.6077</v>
      </c>
      <c r="V282" s="77"/>
      <c r="W282" s="73"/>
      <c r="X282" s="73"/>
      <c r="Y282" s="73"/>
      <c r="Z282" s="78"/>
      <c r="AA282" s="89" t="s">
        <v>268</v>
      </c>
    </row>
    <row r="283" customFormat="false" ht="18.9" hidden="false" customHeight="true" outlineLevel="0" collapsed="false">
      <c r="A283" s="44" t="s">
        <v>32</v>
      </c>
      <c r="B283" s="45" t="n">
        <v>50000</v>
      </c>
      <c r="C283" s="45" t="n">
        <v>60000</v>
      </c>
      <c r="D283" s="44" t="s">
        <v>33</v>
      </c>
      <c r="E283" s="45" t="str">
        <f aca="false" t="array" ref="E283:E283">IF(F283&gt;100,"T1",IF(F283&gt;50,"T2",IF(F283&gt;10,"T3",IF(F283&gt;1,"T4",IF(F283=0,"TBD","T5")))))</f>
        <v>T2</v>
      </c>
      <c r="F283" s="45" t="n">
        <v>54.7</v>
      </c>
      <c r="G283" s="46" t="n">
        <v>0.266</v>
      </c>
      <c r="H283" s="46" t="n">
        <v>0.047</v>
      </c>
      <c r="I283" s="46" t="n">
        <v>0.9639</v>
      </c>
      <c r="J283" s="46" t="n">
        <f aca="false" t="array" ref="J283:J283">O283/N283</f>
        <v>0.181716750966974</v>
      </c>
      <c r="K283" s="48" t="n">
        <f aca="false" t="array" ref="K283:K283">C283/O283</f>
        <v>12.2799836266885</v>
      </c>
      <c r="L283" s="48" t="n">
        <f aca="false" t="array" ref="L283:L283">C283/P283</f>
        <v>52.5854513584575</v>
      </c>
      <c r="M283" s="49" t="n">
        <f aca="false" t="array" ref="M283:M283">C283/Q283</f>
        <v>4615.38461538462</v>
      </c>
      <c r="N283" s="49" t="n">
        <v>26888</v>
      </c>
      <c r="O283" s="45" t="n">
        <v>4886</v>
      </c>
      <c r="P283" s="49" t="n">
        <v>1141</v>
      </c>
      <c r="Q283" s="45" t="n">
        <v>13</v>
      </c>
      <c r="R283" s="46" t="n">
        <v>0.101</v>
      </c>
      <c r="S283" s="46" t="n">
        <v>0.021</v>
      </c>
      <c r="T283" s="44" t="s">
        <v>34</v>
      </c>
      <c r="U283" s="46" t="n">
        <v>0.1117</v>
      </c>
      <c r="V283" s="77"/>
      <c r="W283" s="73"/>
      <c r="X283" s="73"/>
      <c r="Y283" s="73"/>
      <c r="Z283" s="78"/>
      <c r="AA283" s="89" t="s">
        <v>268</v>
      </c>
    </row>
    <row r="284" customFormat="false" ht="18.9" hidden="false" customHeight="true" outlineLevel="0" collapsed="false">
      <c r="A284" s="44" t="s">
        <v>32</v>
      </c>
      <c r="B284" s="45" t="n">
        <v>25000</v>
      </c>
      <c r="C284" s="45" t="n">
        <v>25000</v>
      </c>
      <c r="D284" s="44" t="s">
        <v>36</v>
      </c>
      <c r="E284" s="45" t="str">
        <f aca="false" t="array" ref="E284:E284">IF(F284&gt;100,"T1",IF(F284&gt;50,"T2",IF(F284&gt;10,"T3",IF(F284&gt;1,"T4",IF(F284=0,"TBD","T5")))))</f>
        <v>T3</v>
      </c>
      <c r="F284" s="45" t="n">
        <v>44.6</v>
      </c>
      <c r="G284" s="46" t="n">
        <v>0.25</v>
      </c>
      <c r="H284" s="46" t="n">
        <v>0.064</v>
      </c>
      <c r="I284" s="46" t="n">
        <v>0.9091</v>
      </c>
      <c r="J284" s="46" t="n">
        <f aca="false" t="array" ref="J284:J284">O284/N284</f>
        <v>0.369939046798373</v>
      </c>
      <c r="K284" s="48" t="n">
        <f aca="false" t="array" ref="K284:K284">C284/O284</f>
        <v>0.214092419415613</v>
      </c>
      <c r="L284" s="48" t="n">
        <f aca="false" t="array" ref="L284:L284">C284/P284</f>
        <v>5.14721021206506</v>
      </c>
      <c r="M284" s="49" t="e">
        <f aca="false" t="array" ref="M284:M284">C284/Q284</f>
        <v>#VALUE!</v>
      </c>
      <c r="N284" s="49" t="n">
        <v>315652</v>
      </c>
      <c r="O284" s="45" t="n">
        <v>116772</v>
      </c>
      <c r="P284" s="49" t="n">
        <v>4857</v>
      </c>
      <c r="Q284" s="44" t="s">
        <v>34</v>
      </c>
      <c r="R284" s="46" t="n">
        <v>0.094</v>
      </c>
      <c r="S284" s="46" t="n">
        <v>0.024</v>
      </c>
      <c r="T284" s="44" t="s">
        <v>34</v>
      </c>
      <c r="U284" s="44" t="s">
        <v>34</v>
      </c>
      <c r="V284" s="90" t="s">
        <v>139</v>
      </c>
      <c r="W284" s="44" t="s">
        <v>67</v>
      </c>
      <c r="X284" s="44" t="s">
        <v>123</v>
      </c>
      <c r="Y284" s="44" t="s">
        <v>169</v>
      </c>
      <c r="Z284" s="78"/>
      <c r="AA284" s="89" t="s">
        <v>269</v>
      </c>
    </row>
    <row r="285" customFormat="false" ht="18.9" hidden="false" customHeight="true" outlineLevel="0" collapsed="false">
      <c r="A285" s="44" t="s">
        <v>32</v>
      </c>
      <c r="B285" s="45" t="n">
        <v>6000</v>
      </c>
      <c r="C285" s="45" t="n">
        <v>9500</v>
      </c>
      <c r="D285" s="44" t="s">
        <v>33</v>
      </c>
      <c r="E285" s="45" t="str">
        <f aca="false" t="array" ref="E285:E285">IF(F285&gt;100,"T1",IF(F285&gt;50,"T2",IF(F285&gt;10,"T3",IF(F285&gt;1,"T4",IF(F285=0,"TBD","T5")))))</f>
        <v>T3</v>
      </c>
      <c r="F285" s="45" t="n">
        <v>22.5</v>
      </c>
      <c r="G285" s="46" t="n">
        <v>0.129</v>
      </c>
      <c r="H285" s="46" t="n">
        <v>0.11</v>
      </c>
      <c r="I285" s="46" t="n">
        <v>0.879</v>
      </c>
      <c r="J285" s="46" t="n">
        <f aca="false" t="array" ref="J285:J285">O285/N285</f>
        <v>0.359786700125471</v>
      </c>
      <c r="K285" s="48" t="n">
        <f aca="false" t="array" ref="K285:K285">C285/O285</f>
        <v>2.7608253414705</v>
      </c>
      <c r="L285" s="48" t="n">
        <f aca="false" t="array" ref="L285:L285">C285/P285</f>
        <v>11.2160566706021</v>
      </c>
      <c r="M285" s="49" t="e">
        <f aca="false" t="array" ref="M285:M285">C285/Q285</f>
        <v>#VALUE!</v>
      </c>
      <c r="N285" s="49" t="n">
        <v>9564</v>
      </c>
      <c r="O285" s="45" t="n">
        <v>3441</v>
      </c>
      <c r="P285" s="45" t="n">
        <v>847</v>
      </c>
      <c r="Q285" s="44" t="s">
        <v>34</v>
      </c>
      <c r="R285" s="46" t="n">
        <v>0.613</v>
      </c>
      <c r="S285" s="46" t="n">
        <v>0.009</v>
      </c>
      <c r="T285" s="44" t="s">
        <v>34</v>
      </c>
      <c r="U285" s="46" t="n">
        <v>0.0192</v>
      </c>
      <c r="V285" s="77"/>
      <c r="W285" s="73"/>
      <c r="X285" s="73"/>
      <c r="Y285" s="73"/>
      <c r="Z285" s="78"/>
      <c r="AA285" s="89" t="s">
        <v>226</v>
      </c>
    </row>
    <row r="286" customFormat="false" ht="18.9" hidden="false" customHeight="true" outlineLevel="0" collapsed="false">
      <c r="A286" s="44" t="s">
        <v>32</v>
      </c>
      <c r="B286" s="45" t="n">
        <v>29000</v>
      </c>
      <c r="C286" s="45" t="n">
        <v>42000</v>
      </c>
      <c r="D286" s="44" t="s">
        <v>33</v>
      </c>
      <c r="E286" s="45" t="str">
        <f aca="false" t="array" ref="E286:E286">IF(F286&gt;100,"T1",IF(F286&gt;50,"T2",IF(F286&gt;10,"T3",IF(F286&gt;1,"T4",IF(F286=0,"TBD","T5")))))</f>
        <v>T3</v>
      </c>
      <c r="F286" s="45" t="n">
        <v>29.2</v>
      </c>
      <c r="G286" s="46" t="n">
        <v>0.181</v>
      </c>
      <c r="H286" s="46" t="n">
        <v>0.111</v>
      </c>
      <c r="I286" s="46" t="n">
        <v>0.9315</v>
      </c>
      <c r="J286" s="46" t="n">
        <f aca="false" t="array" ref="J286:J286">O286/N286</f>
        <v>0.248305428422455</v>
      </c>
      <c r="K286" s="48" t="n">
        <f aca="false" t="array" ref="K286:K286">B286/O286</f>
        <v>2.25540519520921</v>
      </c>
      <c r="L286" s="48" t="n">
        <f aca="false" t="array" ref="L286:L286">B286/P286</f>
        <v>22.7450980392157</v>
      </c>
      <c r="M286" s="49" t="n">
        <f aca="false" t="array" ref="M286:M286">B286/Q286</f>
        <v>62.7705627705628</v>
      </c>
      <c r="N286" s="49" t="n">
        <v>51783</v>
      </c>
      <c r="O286" s="45" t="n">
        <v>12858</v>
      </c>
      <c r="P286" s="45" t="n">
        <v>1275</v>
      </c>
      <c r="Q286" s="45" t="n">
        <v>462</v>
      </c>
      <c r="R286" s="46" t="n">
        <v>0.823</v>
      </c>
      <c r="S286" s="46" t="n">
        <v>0.127</v>
      </c>
      <c r="T286" s="44" t="s">
        <v>34</v>
      </c>
      <c r="U286" s="46" t="n">
        <v>0.2352</v>
      </c>
      <c r="V286" s="77"/>
      <c r="W286" s="73"/>
      <c r="X286" s="73"/>
      <c r="Y286" s="73"/>
      <c r="Z286" s="78"/>
      <c r="AA286" s="89" t="s">
        <v>270</v>
      </c>
    </row>
    <row r="287" customFormat="false" ht="18.9" hidden="false" customHeight="true" outlineLevel="0" collapsed="false">
      <c r="A287" s="44" t="s">
        <v>32</v>
      </c>
      <c r="B287" s="45" t="n">
        <v>5000</v>
      </c>
      <c r="C287" s="45" t="n">
        <v>5000</v>
      </c>
      <c r="D287" s="44" t="s">
        <v>33</v>
      </c>
      <c r="E287" s="45" t="str">
        <f aca="false" t="array" ref="E287:E287">IF(F287&gt;100,"T1",IF(F287&gt;50,"T2",IF(F287&gt;10,"T3",IF(F287&gt;1,"T4",IF(F287=0,"TBD","T5")))))</f>
        <v>T3</v>
      </c>
      <c r="F287" s="45" t="n">
        <v>33.2</v>
      </c>
      <c r="G287" s="46" t="n">
        <v>0.332</v>
      </c>
      <c r="H287" s="46" t="n">
        <v>0.066</v>
      </c>
      <c r="I287" s="46" t="n">
        <v>0.9092</v>
      </c>
      <c r="J287" s="46" t="n">
        <f aca="false" t="array" ref="J287:J287">O287/N287</f>
        <v>0.389884423709045</v>
      </c>
      <c r="K287" s="48" t="n">
        <f aca="false" t="array" ref="K287:K287">B287/O287</f>
        <v>1.3598041881969</v>
      </c>
      <c r="L287" s="48" t="n">
        <f aca="false" t="array" ref="L287:L287">B287/P287</f>
        <v>14.2450142450142</v>
      </c>
      <c r="M287" s="49" t="n">
        <f aca="false" t="array" ref="M287:M287">B287/Q287</f>
        <v>156.25</v>
      </c>
      <c r="N287" s="49" t="n">
        <v>9431</v>
      </c>
      <c r="O287" s="45" t="n">
        <v>3677</v>
      </c>
      <c r="P287" s="45" t="n">
        <v>351</v>
      </c>
      <c r="Q287" s="45" t="n">
        <v>32</v>
      </c>
      <c r="R287" s="46" t="n">
        <v>0.973</v>
      </c>
      <c r="S287" s="46" t="n">
        <v>0.001</v>
      </c>
      <c r="T287" s="46" t="n">
        <v>0.1801</v>
      </c>
      <c r="U287" s="44" t="s">
        <v>34</v>
      </c>
      <c r="V287" s="77"/>
      <c r="W287" s="73"/>
      <c r="X287" s="73"/>
      <c r="Y287" s="73"/>
      <c r="Z287" s="78"/>
      <c r="AA287" s="89" t="s">
        <v>271</v>
      </c>
    </row>
    <row r="288" customFormat="false" ht="18.9" hidden="false" customHeight="true" outlineLevel="0" collapsed="false">
      <c r="A288" s="44" t="s">
        <v>32</v>
      </c>
      <c r="B288" s="45" t="n">
        <v>3500</v>
      </c>
      <c r="C288" s="45" t="n">
        <v>4000</v>
      </c>
      <c r="D288" s="44" t="s">
        <v>33</v>
      </c>
      <c r="E288" s="45" t="str">
        <f aca="false" t="array" ref="E288:E288">IF(F288&gt;100,"T1",IF(F288&gt;50,"T2",IF(F288&gt;10,"T3",IF(F288&gt;1,"T4",IF(F288=0,"TBD","T5")))))</f>
        <v>T4</v>
      </c>
      <c r="F288" s="45" t="n">
        <v>3.4</v>
      </c>
      <c r="G288" s="46" t="n">
        <v>0.357</v>
      </c>
      <c r="H288" s="46" t="n">
        <v>0.036</v>
      </c>
      <c r="I288" s="46" t="n">
        <v>0.7181</v>
      </c>
      <c r="J288" s="46" t="n">
        <f aca="false" t="array" ref="J288:J288">O288/N288</f>
        <v>0.159772450223486</v>
      </c>
      <c r="K288" s="48" t="n">
        <f aca="false" t="array" ref="K288:K288">B288/O288</f>
        <v>1.78026449643947</v>
      </c>
      <c r="L288" s="48" t="n">
        <f aca="false" t="array" ref="L288:L288">B288/P288</f>
        <v>8.19672131147541</v>
      </c>
      <c r="M288" s="49" t="n">
        <f aca="false" t="array" ref="M288:M288">B288/Q288</f>
        <v>583.333333333333</v>
      </c>
      <c r="N288" s="49" t="n">
        <v>12305</v>
      </c>
      <c r="O288" s="49" t="n">
        <v>1966</v>
      </c>
      <c r="P288" s="45" t="n">
        <v>427</v>
      </c>
      <c r="Q288" s="45" t="n">
        <v>6</v>
      </c>
      <c r="R288" s="46" t="n">
        <v>0.726</v>
      </c>
      <c r="S288" s="46" t="n">
        <v>0.086</v>
      </c>
      <c r="T288" s="46" t="n">
        <v>0.3875</v>
      </c>
      <c r="U288" s="44" t="s">
        <v>34</v>
      </c>
      <c r="V288" s="77"/>
      <c r="W288" s="73"/>
      <c r="X288" s="73"/>
      <c r="Y288" s="73"/>
      <c r="Z288" s="78"/>
      <c r="AA288" s="104" t="s">
        <v>272</v>
      </c>
    </row>
    <row r="289" customFormat="false" ht="18.9" hidden="false" customHeight="true" outlineLevel="0" collapsed="false">
      <c r="A289" s="52" t="s">
        <v>32</v>
      </c>
      <c r="B289" s="53" t="n">
        <v>28000</v>
      </c>
      <c r="C289" s="53" t="n">
        <v>38000</v>
      </c>
      <c r="D289" s="52" t="s">
        <v>33</v>
      </c>
      <c r="E289" s="53" t="str">
        <f aca="false" t="array" ref="E289:E289">IF(F289&gt;100,"T1",IF(F289&gt;50,"T2",IF(F289&gt;10,"T3",IF(F289&gt;1,"T4",IF(F289=0,"TBD","T5")))))</f>
        <v>T3</v>
      </c>
      <c r="F289" s="53" t="n">
        <v>39.4</v>
      </c>
      <c r="G289" s="54" t="n">
        <v>0.265</v>
      </c>
      <c r="H289" s="54" t="n">
        <v>0.026</v>
      </c>
      <c r="I289" s="54" t="n">
        <v>0.9748</v>
      </c>
      <c r="J289" s="54" t="n">
        <f aca="false" t="array" ref="J289:J289">O289/N289</f>
        <v>0.162292567284898</v>
      </c>
      <c r="K289" s="56" t="n">
        <f aca="false" t="array" ref="K289:K289">C289/O289</f>
        <v>3.2651658360543</v>
      </c>
      <c r="L289" s="56" t="n">
        <f aca="false" t="array" ref="L289:L289">C289/P289</f>
        <v>64.406779661017</v>
      </c>
      <c r="M289" s="57" t="n">
        <f aca="false" t="array" ref="M289:M289">C289/Q289</f>
        <v>690.909090909091</v>
      </c>
      <c r="N289" s="57" t="n">
        <v>71710</v>
      </c>
      <c r="O289" s="53" t="n">
        <v>11638</v>
      </c>
      <c r="P289" s="53" t="n">
        <v>590</v>
      </c>
      <c r="Q289" s="53" t="n">
        <v>55</v>
      </c>
      <c r="R289" s="54" t="n">
        <v>0.767</v>
      </c>
      <c r="S289" s="54" t="n">
        <v>0.002</v>
      </c>
      <c r="T289" s="52" t="s">
        <v>34</v>
      </c>
      <c r="U289" s="54" t="n">
        <v>0.1538</v>
      </c>
      <c r="V289" s="107"/>
      <c r="W289" s="92"/>
      <c r="X289" s="92"/>
      <c r="Y289" s="92"/>
      <c r="Z289" s="92"/>
      <c r="AA289" s="105" t="s">
        <v>107</v>
      </c>
    </row>
    <row r="290" customFormat="false" ht="18" hidden="false" customHeight="true" outlineLevel="0" collapsed="false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  <c r="W290" s="33"/>
      <c r="X290" s="33"/>
      <c r="Y290" s="33"/>
      <c r="Z290" s="33"/>
      <c r="AA290" s="125"/>
    </row>
    <row r="291" customFormat="false" ht="18.9" hidden="false" customHeight="true" outlineLevel="0" collapsed="false">
      <c r="A291" s="35" t="s">
        <v>32</v>
      </c>
      <c r="B291" s="36" t="n">
        <v>80000</v>
      </c>
      <c r="C291" s="36" t="n">
        <v>130000</v>
      </c>
      <c r="D291" s="35" t="s">
        <v>36</v>
      </c>
      <c r="E291" s="36" t="str">
        <f aca="false" t="array" ref="E291:E291">IF(F291&gt;100,"T1",IF(F291&gt;50,"T2",IF(F291&gt;10,"T3",IF(F291&gt;1,"T4",IF(F291=0,"TBD","T5")))))</f>
        <v>T1</v>
      </c>
      <c r="F291" s="36" t="n">
        <v>178.8</v>
      </c>
      <c r="G291" s="37" t="n">
        <v>0.318</v>
      </c>
      <c r="H291" s="37" t="n">
        <v>0.07</v>
      </c>
      <c r="I291" s="37" t="n">
        <v>0.9234</v>
      </c>
      <c r="J291" s="37" t="n">
        <f aca="false" t="array" ref="J291:J291">O291/N291</f>
        <v>0.279012120598829</v>
      </c>
      <c r="K291" s="39" t="n">
        <f aca="false" t="array" ref="K291:K291">C291/O291</f>
        <v>0.389660216291394</v>
      </c>
      <c r="L291" s="39" t="n">
        <f aca="false" t="array" ref="L291:L291">C291/P291</f>
        <v>3.01904319554111</v>
      </c>
      <c r="M291" s="40" t="n">
        <f aca="false" t="array" ref="M291:M291">C291/Q291</f>
        <v>2.56562068284981</v>
      </c>
      <c r="N291" s="40" t="n">
        <v>1195733</v>
      </c>
      <c r="O291" s="40" t="n">
        <v>333624</v>
      </c>
      <c r="P291" s="40" t="n">
        <v>43060</v>
      </c>
      <c r="Q291" s="40" t="n">
        <v>50670</v>
      </c>
      <c r="R291" s="37" t="n">
        <v>0.65</v>
      </c>
      <c r="S291" s="37" t="n">
        <v>0.004</v>
      </c>
      <c r="T291" s="35" t="s">
        <v>34</v>
      </c>
      <c r="U291" s="37" t="n">
        <v>0.4706</v>
      </c>
      <c r="V291" s="102"/>
      <c r="W291" s="83"/>
      <c r="X291" s="83"/>
      <c r="Y291" s="83"/>
      <c r="Z291" s="83"/>
      <c r="AA291" s="105" t="s">
        <v>103</v>
      </c>
    </row>
    <row r="292" customFormat="false" ht="18.9" hidden="false" customHeight="true" outlineLevel="0" collapsed="false">
      <c r="A292" s="44" t="s">
        <v>32</v>
      </c>
      <c r="B292" s="45" t="n">
        <v>60000</v>
      </c>
      <c r="C292" s="45" t="n">
        <v>70000</v>
      </c>
      <c r="D292" s="44" t="s">
        <v>33</v>
      </c>
      <c r="E292" s="45" t="str">
        <f aca="false" t="array" ref="E292:E292">IF(F292&gt;100,"T1",IF(F292&gt;50,"T2",IF(F292&gt;10,"T3",IF(F292&gt;1,"T4",IF(F292=0,"TBD","T5")))))</f>
        <v>T1</v>
      </c>
      <c r="F292" s="45" t="n">
        <v>133.1</v>
      </c>
      <c r="G292" s="46" t="n">
        <v>0.3</v>
      </c>
      <c r="H292" s="46" t="n">
        <v>0.023</v>
      </c>
      <c r="I292" s="46" t="n">
        <v>0.921</v>
      </c>
      <c r="J292" s="46" t="n">
        <f aca="false" t="array" ref="J292:J292">O292/N292</f>
        <v>0.134076900943468</v>
      </c>
      <c r="K292" s="48" t="n">
        <f aca="false" t="array" ref="K292:K292">C292/O292</f>
        <v>3.9532388321003</v>
      </c>
      <c r="L292" s="48" t="n">
        <f aca="false" t="array" ref="L292:L292">C292/P292</f>
        <v>45.5432661027977</v>
      </c>
      <c r="M292" s="49" t="n">
        <f aca="false" t="array" ref="M292:M292">C292/Q292</f>
        <v>83.3333333333333</v>
      </c>
      <c r="N292" s="49" t="n">
        <v>132066</v>
      </c>
      <c r="O292" s="49" t="n">
        <v>17707</v>
      </c>
      <c r="P292" s="45" t="n">
        <v>1537</v>
      </c>
      <c r="Q292" s="45" t="n">
        <v>840</v>
      </c>
      <c r="R292" s="46" t="n">
        <v>0.388</v>
      </c>
      <c r="S292" s="46" t="n">
        <v>0.002</v>
      </c>
      <c r="T292" s="44" t="s">
        <v>34</v>
      </c>
      <c r="U292" s="46" t="n">
        <v>0.5714</v>
      </c>
      <c r="V292" s="77"/>
      <c r="W292" s="73"/>
      <c r="X292" s="73"/>
      <c r="Y292" s="73"/>
      <c r="Z292" s="73"/>
      <c r="AA292" s="105" t="s">
        <v>273</v>
      </c>
    </row>
    <row r="293" customFormat="false" ht="18.9" hidden="false" customHeight="true" outlineLevel="0" collapsed="false">
      <c r="A293" s="44" t="s">
        <v>32</v>
      </c>
      <c r="B293" s="45" t="n">
        <v>80000</v>
      </c>
      <c r="C293" s="45" t="n">
        <v>120000</v>
      </c>
      <c r="D293" s="44" t="s">
        <v>36</v>
      </c>
      <c r="E293" s="45" t="str">
        <f aca="false" t="array" ref="E293:E293">IF(F293&gt;100,"T1",IF(F293&gt;50,"T2",IF(F293&gt;10,"T3",IF(F293&gt;1,"T4",IF(F293=0,"TBD","T5")))))</f>
        <v>T1</v>
      </c>
      <c r="F293" s="45" t="n">
        <v>285.5</v>
      </c>
      <c r="G293" s="46" t="n">
        <v>0.32</v>
      </c>
      <c r="H293" s="46" t="n">
        <v>0.057</v>
      </c>
      <c r="I293" s="46" t="n">
        <v>0.9356</v>
      </c>
      <c r="J293" s="46" t="n">
        <f aca="false" t="array" ref="J293:J293">O293/N293</f>
        <v>0.0995951165463752</v>
      </c>
      <c r="K293" s="48" t="n">
        <f aca="false" t="array" ref="K293:K293">C293/O293</f>
        <v>4.15886878768975</v>
      </c>
      <c r="L293" s="48" t="n">
        <f aca="false" t="array" ref="L293:L293">C293/P293</f>
        <v>15.222630978054</v>
      </c>
      <c r="M293" s="49" t="e">
        <f aca="false" t="array" ref="M293:M293">C293/Q293</f>
        <v>#VALUE!</v>
      </c>
      <c r="N293" s="49" t="n">
        <v>289713</v>
      </c>
      <c r="O293" s="49" t="n">
        <v>28854</v>
      </c>
      <c r="P293" s="45" t="n">
        <v>7883</v>
      </c>
      <c r="Q293" s="44" t="s">
        <v>34</v>
      </c>
      <c r="R293" s="46" t="n">
        <v>0.264</v>
      </c>
      <c r="S293" s="46" t="n">
        <v>0.003</v>
      </c>
      <c r="T293" s="44" t="s">
        <v>34</v>
      </c>
      <c r="U293" s="44" t="s">
        <v>34</v>
      </c>
      <c r="V293" s="77"/>
      <c r="W293" s="73"/>
      <c r="X293" s="73"/>
      <c r="Y293" s="73"/>
      <c r="Z293" s="73"/>
      <c r="AA293" s="105" t="s">
        <v>274</v>
      </c>
    </row>
    <row r="294" customFormat="false" ht="18.9" hidden="false" customHeight="true" outlineLevel="0" collapsed="false">
      <c r="A294" s="44" t="s">
        <v>32</v>
      </c>
      <c r="B294" s="44" t="s">
        <v>38</v>
      </c>
      <c r="C294" s="45" t="n">
        <v>60000</v>
      </c>
      <c r="D294" s="44" t="s">
        <v>36</v>
      </c>
      <c r="E294" s="45" t="str">
        <f aca="false" t="array" ref="E294:E294">IF(F294&gt;100,"T1",IF(F294&gt;50,"T2",IF(F294&gt;10,"T3",IF(F294&gt;1,"T4",IF(F294=0,"TBD","T5")))))</f>
        <v>T1</v>
      </c>
      <c r="F294" s="45" t="n">
        <v>120.7</v>
      </c>
      <c r="G294" s="46" t="n">
        <v>0.381</v>
      </c>
      <c r="H294" s="46" t="n">
        <v>0.061</v>
      </c>
      <c r="I294" s="46" t="n">
        <v>0.8321</v>
      </c>
      <c r="J294" s="46" t="n">
        <f aca="false" t="array" ref="J294:J294">O294/N294</f>
        <v>0.179504161423494</v>
      </c>
      <c r="K294" s="48" t="n">
        <f aca="false" t="array" ref="K294:K294">C294/O294</f>
        <v>7.37916615422457</v>
      </c>
      <c r="L294" s="48" t="n">
        <f aca="false" t="array" ref="L294:L294">C294/P294</f>
        <v>147.058823529412</v>
      </c>
      <c r="M294" s="49" t="n">
        <f aca="false" t="array" ref="M294:M294">C294/Q294</f>
        <v>1818.18181818182</v>
      </c>
      <c r="N294" s="49" t="n">
        <v>45297</v>
      </c>
      <c r="O294" s="49" t="n">
        <v>8131</v>
      </c>
      <c r="P294" s="45" t="n">
        <v>408</v>
      </c>
      <c r="Q294" s="45" t="n">
        <v>33</v>
      </c>
      <c r="R294" s="46" t="n">
        <v>0.539</v>
      </c>
      <c r="S294" s="46" t="n">
        <v>0.002</v>
      </c>
      <c r="T294" s="44" t="s">
        <v>34</v>
      </c>
      <c r="U294" s="46" t="n">
        <v>0.1667</v>
      </c>
      <c r="V294" s="77"/>
      <c r="W294" s="73"/>
      <c r="X294" s="73"/>
      <c r="Y294" s="73"/>
      <c r="Z294" s="73"/>
      <c r="AA294" s="105" t="s">
        <v>275</v>
      </c>
    </row>
    <row r="295" customFormat="false" ht="18.9" hidden="false" customHeight="true" outlineLevel="0" collapsed="false">
      <c r="A295" s="44" t="s">
        <v>32</v>
      </c>
      <c r="B295" s="44" t="s">
        <v>38</v>
      </c>
      <c r="C295" s="45" t="n">
        <v>46000</v>
      </c>
      <c r="D295" s="44" t="s">
        <v>36</v>
      </c>
      <c r="E295" s="45" t="str">
        <f aca="false" t="array" ref="E295:E295">IF(F295&gt;100,"T1",IF(F295&gt;50,"T2",IF(F295&gt;10,"T3",IF(F295&gt;1,"T4",IF(F295=0,"TBD","T5")))))</f>
        <v>T3</v>
      </c>
      <c r="F295" s="45" t="n">
        <v>37.9</v>
      </c>
      <c r="G295" s="46" t="n">
        <v>0.384</v>
      </c>
      <c r="H295" s="46" t="n">
        <v>0.065</v>
      </c>
      <c r="I295" s="46" t="n">
        <v>0.8751</v>
      </c>
      <c r="J295" s="46" t="n">
        <f aca="false" t="array" ref="J295:J295">O295/N295</f>
        <v>0.182359197840007</v>
      </c>
      <c r="K295" s="48" t="n">
        <f aca="false" t="array" ref="K295:K295">C295/O295</f>
        <v>1.08623783885898</v>
      </c>
      <c r="L295" s="48" t="n">
        <f aca="false" t="array" ref="L295:L295">C295/P295</f>
        <v>14.1494924638573</v>
      </c>
      <c r="M295" s="49" t="n">
        <f aca="false" t="array" ref="M295:M295">C295/Q295</f>
        <v>1642.85714285714</v>
      </c>
      <c r="N295" s="49" t="n">
        <v>232223</v>
      </c>
      <c r="O295" s="49" t="n">
        <v>42348</v>
      </c>
      <c r="P295" s="45" t="n">
        <v>3251</v>
      </c>
      <c r="Q295" s="45" t="n">
        <v>28</v>
      </c>
      <c r="R295" s="46" t="n">
        <v>0.607</v>
      </c>
      <c r="S295" s="46" t="n">
        <v>0.002</v>
      </c>
      <c r="T295" s="44" t="s">
        <v>34</v>
      </c>
      <c r="U295" s="46" t="n">
        <v>0.2919</v>
      </c>
      <c r="V295" s="77"/>
      <c r="W295" s="73"/>
      <c r="X295" s="73"/>
      <c r="Y295" s="73"/>
      <c r="Z295" s="73"/>
      <c r="AA295" s="105" t="s">
        <v>276</v>
      </c>
    </row>
    <row r="296" customFormat="false" ht="18.9" hidden="false" customHeight="true" outlineLevel="0" collapsed="false">
      <c r="A296" s="44" t="s">
        <v>32</v>
      </c>
      <c r="B296" s="45" t="n">
        <v>5000</v>
      </c>
      <c r="C296" s="45" t="n">
        <v>70000</v>
      </c>
      <c r="D296" s="44" t="s">
        <v>36</v>
      </c>
      <c r="E296" s="45" t="str">
        <f aca="false" t="array" ref="E296:E296">IF(F296&gt;100,"T1",IF(F296&gt;50,"T2",IF(F296&gt;10,"T3",IF(F296&gt;1,"T4",IF(F296=0,"TBD","T5")))))</f>
        <v>T3</v>
      </c>
      <c r="F296" s="45" t="n">
        <v>26.5</v>
      </c>
      <c r="G296" s="46" t="n">
        <v>0.328</v>
      </c>
      <c r="H296" s="46" t="n">
        <v>0.048</v>
      </c>
      <c r="I296" s="46" t="n">
        <v>0.9452</v>
      </c>
      <c r="J296" s="46" t="n">
        <f aca="false" t="array" ref="J296:J296">O296/N296</f>
        <v>0.125139719103854</v>
      </c>
      <c r="K296" s="48" t="n">
        <f aca="false" t="array" ref="K296:K296">C296/O296</f>
        <v>6.79611650485437</v>
      </c>
      <c r="L296" s="48" t="n">
        <f aca="false" t="array" ref="L296:L296">C296/P296</f>
        <v>126.811594202899</v>
      </c>
      <c r="M296" s="49" t="n">
        <f aca="false" t="array" ref="M296:M296">C296/Q296</f>
        <v>34.0632603406326</v>
      </c>
      <c r="N296" s="49" t="n">
        <v>82308</v>
      </c>
      <c r="O296" s="49" t="n">
        <v>10300</v>
      </c>
      <c r="P296" s="45" t="n">
        <v>552</v>
      </c>
      <c r="Q296" s="45" t="n">
        <v>2055</v>
      </c>
      <c r="R296" s="46" t="n">
        <v>0.63</v>
      </c>
      <c r="S296" s="46" t="n">
        <v>0.025</v>
      </c>
      <c r="T296" s="44" t="s">
        <v>34</v>
      </c>
      <c r="U296" s="44" t="s">
        <v>34</v>
      </c>
      <c r="V296" s="77"/>
      <c r="W296" s="73"/>
      <c r="X296" s="73"/>
      <c r="Y296" s="73"/>
      <c r="Z296" s="73"/>
      <c r="AA296" s="105" t="s">
        <v>277</v>
      </c>
    </row>
    <row r="297" customFormat="false" ht="18.9" hidden="false" customHeight="true" outlineLevel="0" collapsed="false">
      <c r="A297" s="44" t="s">
        <v>32</v>
      </c>
      <c r="B297" s="45" t="n">
        <v>11000</v>
      </c>
      <c r="C297" s="45" t="n">
        <v>25000</v>
      </c>
      <c r="D297" s="44" t="s">
        <v>33</v>
      </c>
      <c r="E297" s="45" t="str">
        <f aca="false" t="array" ref="E297:E297">IF(F297&gt;100,"T1",IF(F297&gt;50,"T2",IF(F297&gt;10,"T3",IF(F297&gt;1,"T4",IF(F297=0,"TBD","T5")))))</f>
        <v>T3</v>
      </c>
      <c r="F297" s="45" t="n">
        <v>29.8</v>
      </c>
      <c r="G297" s="46" t="n">
        <v>0.358</v>
      </c>
      <c r="H297" s="46" t="n">
        <v>0.019</v>
      </c>
      <c r="I297" s="46" t="n">
        <v>0.9881</v>
      </c>
      <c r="J297" s="46" t="n">
        <f aca="false" t="array" ref="J297:J297">O297/N297</f>
        <v>0.138937934258757</v>
      </c>
      <c r="K297" s="48" t="n">
        <f aca="false" t="array" ref="K297:K297">C297/O297</f>
        <v>0.894934669769107</v>
      </c>
      <c r="L297" s="48" t="n">
        <f aca="false" t="array" ref="L297:L297">C297/P297</f>
        <v>9.25925925925926</v>
      </c>
      <c r="M297" s="49" t="n">
        <f aca="false" t="array" ref="M297:M297">C297/Q297</f>
        <v>27.1444082519001</v>
      </c>
      <c r="N297" s="49" t="n">
        <v>201061</v>
      </c>
      <c r="O297" s="49" t="n">
        <v>27935</v>
      </c>
      <c r="P297" s="49" t="n">
        <v>2700</v>
      </c>
      <c r="Q297" s="45" t="n">
        <v>921</v>
      </c>
      <c r="R297" s="46" t="n">
        <v>0.791</v>
      </c>
      <c r="S297" s="46" t="n">
        <v>0.046</v>
      </c>
      <c r="T297" s="44" t="s">
        <v>34</v>
      </c>
      <c r="U297" s="46" t="n">
        <v>0.3412</v>
      </c>
      <c r="V297" s="77"/>
      <c r="W297" s="73"/>
      <c r="X297" s="73"/>
      <c r="Y297" s="73"/>
      <c r="Z297" s="73"/>
      <c r="AA297" s="105" t="s">
        <v>103</v>
      </c>
    </row>
    <row r="298" customFormat="false" ht="18.9" hidden="false" customHeight="true" outlineLevel="0" collapsed="false">
      <c r="A298" s="44" t="s">
        <v>32</v>
      </c>
      <c r="B298" s="45" t="n">
        <v>40000</v>
      </c>
      <c r="C298" s="45" t="n">
        <v>40000</v>
      </c>
      <c r="D298" s="44" t="s">
        <v>33</v>
      </c>
      <c r="E298" s="45" t="str">
        <f aca="false" t="array" ref="E298:E298">IF(F298&gt;100,"T1",IF(F298&gt;50,"T2",IF(F298&gt;10,"T3",IF(F298&gt;1,"T4",IF(F298=0,"TBD","T5")))))</f>
        <v>T3</v>
      </c>
      <c r="F298" s="45" t="n">
        <v>34.2</v>
      </c>
      <c r="G298" s="46" t="n">
        <v>0.144</v>
      </c>
      <c r="H298" s="46" t="n">
        <v>0.145</v>
      </c>
      <c r="I298" s="46" t="n">
        <v>0.9516</v>
      </c>
      <c r="J298" s="46" t="n">
        <f aca="false" t="array" ref="J298:J298">O298/N298</f>
        <v>0.0872797690059996</v>
      </c>
      <c r="K298" s="48" t="n">
        <f aca="false" t="array" ref="K298:K298">C298/O298</f>
        <v>7.92393026941363</v>
      </c>
      <c r="L298" s="48" t="n">
        <f aca="false" t="array" ref="L298:L298">C298/P298</f>
        <v>95.4653937947494</v>
      </c>
      <c r="M298" s="49" t="n">
        <f aca="false" t="array" ref="M298:M298">C298/Q298</f>
        <v>1379.31034482759</v>
      </c>
      <c r="N298" s="49" t="n">
        <v>57837</v>
      </c>
      <c r="O298" s="49" t="n">
        <v>5048</v>
      </c>
      <c r="P298" s="45" t="n">
        <v>419</v>
      </c>
      <c r="Q298" s="45" t="n">
        <v>29</v>
      </c>
      <c r="R298" s="46" t="n">
        <v>0.806</v>
      </c>
      <c r="S298" s="46" t="n">
        <v>0.013</v>
      </c>
      <c r="T298" s="44" t="s">
        <v>34</v>
      </c>
      <c r="U298" s="46" t="n">
        <v>0.123</v>
      </c>
      <c r="V298" s="77"/>
      <c r="W298" s="73"/>
      <c r="X298" s="73"/>
      <c r="Y298" s="73"/>
      <c r="Z298" s="73"/>
      <c r="AA298" s="105" t="s">
        <v>278</v>
      </c>
    </row>
    <row r="299" customFormat="false" ht="18.9" hidden="false" customHeight="true" outlineLevel="0" collapsed="false">
      <c r="A299" s="52" t="s">
        <v>32</v>
      </c>
      <c r="B299" s="53" t="n">
        <v>55000</v>
      </c>
      <c r="C299" s="53" t="n">
        <v>130000</v>
      </c>
      <c r="D299" s="52" t="s">
        <v>36</v>
      </c>
      <c r="E299" s="53" t="str">
        <f aca="false" t="array" ref="E299:E299">IF(F299&gt;100,"T1",IF(F299&gt;50,"T2",IF(F299&gt;10,"T3",IF(F299&gt;1,"T4",IF(F299=0,"TBD","T5")))))</f>
        <v>T2</v>
      </c>
      <c r="F299" s="53" t="n">
        <v>71.1</v>
      </c>
      <c r="G299" s="54" t="n">
        <v>0.143</v>
      </c>
      <c r="H299" s="54" t="n">
        <v>0.044</v>
      </c>
      <c r="I299" s="54" t="n">
        <v>0.9746</v>
      </c>
      <c r="J299" s="54" t="n">
        <f aca="false" t="array" ref="J299:J299">O299/N299</f>
        <v>0.173269818729037</v>
      </c>
      <c r="K299" s="56" t="n">
        <f aca="false" t="array" ref="K299:K299">C299/O299</f>
        <v>1.98776758409786</v>
      </c>
      <c r="L299" s="56" t="n">
        <f aca="false" t="array" ref="L299:L299">C299/P299</f>
        <v>45.8715596330275</v>
      </c>
      <c r="M299" s="57" t="n">
        <f aca="false" t="array" ref="M299:M299">C299/Q299</f>
        <v>14.2294220665499</v>
      </c>
      <c r="N299" s="57" t="n">
        <v>377446</v>
      </c>
      <c r="O299" s="57" t="n">
        <v>65400</v>
      </c>
      <c r="P299" s="57" t="n">
        <v>2834</v>
      </c>
      <c r="Q299" s="53" t="n">
        <v>9136</v>
      </c>
      <c r="R299" s="54" t="n">
        <v>0.433</v>
      </c>
      <c r="S299" s="54" t="n">
        <v>0.041</v>
      </c>
      <c r="T299" s="52" t="s">
        <v>34</v>
      </c>
      <c r="U299" s="52" t="s">
        <v>34</v>
      </c>
      <c r="V299" s="107"/>
      <c r="W299" s="92"/>
      <c r="X299" s="92"/>
      <c r="Y299" s="92"/>
      <c r="Z299" s="92"/>
      <c r="AA299" s="105" t="s">
        <v>279</v>
      </c>
    </row>
    <row r="300" customFormat="false" ht="18.9" hidden="false" customHeight="true" outlineLevel="0" collapsed="false">
      <c r="A300" s="65"/>
      <c r="B300" s="65"/>
      <c r="C300" s="65"/>
      <c r="D300" s="65"/>
      <c r="E300" s="65"/>
      <c r="F300" s="65"/>
      <c r="G300" s="66"/>
      <c r="H300" s="66"/>
      <c r="I300" s="66"/>
      <c r="J300" s="66"/>
      <c r="K300" s="68"/>
      <c r="L300" s="68"/>
      <c r="M300" s="69"/>
      <c r="N300" s="69"/>
      <c r="O300" s="65"/>
      <c r="P300" s="65"/>
      <c r="Q300" s="65"/>
      <c r="R300" s="66"/>
      <c r="S300" s="66"/>
      <c r="T300" s="66"/>
      <c r="U300" s="66"/>
      <c r="V300" s="34"/>
      <c r="W300" s="33"/>
      <c r="X300" s="33"/>
      <c r="Y300" s="33"/>
      <c r="Z300" s="33"/>
      <c r="AA300" s="132"/>
    </row>
    <row r="301" customFormat="false" ht="18.9" hidden="false" customHeight="true" outlineLevel="0" collapsed="false">
      <c r="A301" s="35" t="s">
        <v>32</v>
      </c>
      <c r="B301" s="36" t="n">
        <v>33000</v>
      </c>
      <c r="C301" s="36" t="n">
        <v>39000</v>
      </c>
      <c r="D301" s="35" t="s">
        <v>36</v>
      </c>
      <c r="E301" s="36" t="str">
        <f aca="false" t="array" ref="E301:E301">IF(F301&gt;100,"T1",IF(F301&gt;50,"T2",IF(F301&gt;10,"T3",IF(F301&gt;1,"T4",IF(F301=0,"TBD","T5")))))</f>
        <v>T3</v>
      </c>
      <c r="F301" s="36" t="n">
        <v>13.3</v>
      </c>
      <c r="G301" s="37" t="n">
        <v>0.319</v>
      </c>
      <c r="H301" s="37" t="n">
        <v>0.04</v>
      </c>
      <c r="I301" s="37" t="n">
        <v>0.7215</v>
      </c>
      <c r="J301" s="37" t="n">
        <f aca="false" t="array" ref="J301:J301">O301/N301</f>
        <v>0.15604647904511</v>
      </c>
      <c r="K301" s="39" t="n">
        <f aca="false" t="array" ref="K301:K301">C301/O301</f>
        <v>1.12955078634112</v>
      </c>
      <c r="L301" s="39" t="n">
        <f aca="false" t="array" ref="L301:L301">C301/P301</f>
        <v>10.5748373101952</v>
      </c>
      <c r="M301" s="40" t="n">
        <f aca="false" t="array" ref="M301:M301">C301/Q301</f>
        <v>722.222222222222</v>
      </c>
      <c r="N301" s="40" t="n">
        <v>221261</v>
      </c>
      <c r="O301" s="40" t="n">
        <v>34527</v>
      </c>
      <c r="P301" s="36" t="n">
        <v>3688</v>
      </c>
      <c r="Q301" s="36" t="n">
        <v>54</v>
      </c>
      <c r="R301" s="37" t="n">
        <v>0.63</v>
      </c>
      <c r="S301" s="37" t="n">
        <v>0.021</v>
      </c>
      <c r="T301" s="35" t="s">
        <v>34</v>
      </c>
      <c r="U301" s="37" t="n">
        <v>0.1512</v>
      </c>
      <c r="V301" s="102"/>
      <c r="W301" s="83"/>
      <c r="X301" s="83"/>
      <c r="Y301" s="83"/>
      <c r="Z301" s="83"/>
      <c r="AA301" s="105" t="s">
        <v>280</v>
      </c>
    </row>
    <row r="302" customFormat="false" ht="18.9" hidden="false" customHeight="true" outlineLevel="0" collapsed="false">
      <c r="A302" s="44" t="s">
        <v>32</v>
      </c>
      <c r="B302" s="45" t="n">
        <v>20000</v>
      </c>
      <c r="C302" s="45" t="n">
        <v>35000</v>
      </c>
      <c r="D302" s="44" t="s">
        <v>36</v>
      </c>
      <c r="E302" s="45" t="str">
        <f aca="false" t="array" ref="E302:E302">IF(F302&gt;100,"T1",IF(F302&gt;50,"T2",IF(F302&gt;10,"T3",IF(F302&gt;1,"T4",IF(F302=0,"TBD","T5")))))</f>
        <v>T3</v>
      </c>
      <c r="F302" s="45" t="n">
        <v>12.9</v>
      </c>
      <c r="G302" s="46" t="n">
        <v>0.175</v>
      </c>
      <c r="H302" s="46" t="n">
        <v>0.058</v>
      </c>
      <c r="I302" s="46" t="n">
        <v>0.8488</v>
      </c>
      <c r="J302" s="46" t="n">
        <f aca="false" t="array" ref="J302:J302">O302/N302</f>
        <v>0.150259520384074</v>
      </c>
      <c r="K302" s="48" t="n">
        <f aca="false" t="array" ref="K302:K302">C302/O302</f>
        <v>1.85146000846382</v>
      </c>
      <c r="L302" s="48" t="n">
        <f aca="false" t="array" ref="L302:L302">C302/P302</f>
        <v>25.0716332378223</v>
      </c>
      <c r="M302" s="49" t="n">
        <f aca="false" t="array" ref="M302:M302">C302/Q302</f>
        <v>760.869565217391</v>
      </c>
      <c r="N302" s="49" t="n">
        <v>125809</v>
      </c>
      <c r="O302" s="49" t="n">
        <v>18904</v>
      </c>
      <c r="P302" s="45" t="n">
        <v>1396</v>
      </c>
      <c r="Q302" s="45" t="n">
        <v>46</v>
      </c>
      <c r="R302" s="46" t="n">
        <v>0.515</v>
      </c>
      <c r="S302" s="46" t="n">
        <v>0.046</v>
      </c>
      <c r="T302" s="46" t="n">
        <v>0.1448</v>
      </c>
      <c r="U302" s="46" t="n">
        <v>0.2512</v>
      </c>
      <c r="V302" s="77"/>
      <c r="W302" s="73"/>
      <c r="X302" s="73"/>
      <c r="Y302" s="73"/>
      <c r="Z302" s="78"/>
      <c r="AA302" s="118" t="s">
        <v>281</v>
      </c>
    </row>
    <row r="303" customFormat="false" ht="18.9" hidden="false" customHeight="true" outlineLevel="0" collapsed="false">
      <c r="A303" s="44" t="s">
        <v>32</v>
      </c>
      <c r="B303" s="45" t="n">
        <v>20000</v>
      </c>
      <c r="C303" s="45" t="n">
        <v>29000</v>
      </c>
      <c r="D303" s="44" t="s">
        <v>36</v>
      </c>
      <c r="E303" s="45" t="str">
        <f aca="false" t="array" ref="E303:E303">IF(F303&gt;100,"T1",IF(F303&gt;50,"T2",IF(F303&gt;10,"T3",IF(F303&gt;1,"T4",IF(F303=0,"TBD","T5")))))</f>
        <v>T3</v>
      </c>
      <c r="F303" s="45" t="n">
        <v>26.2</v>
      </c>
      <c r="G303" s="46" t="n">
        <v>0.092</v>
      </c>
      <c r="H303" s="46" t="n">
        <v>0.041</v>
      </c>
      <c r="I303" s="46" t="n">
        <v>0.9711</v>
      </c>
      <c r="J303" s="46" t="n">
        <f aca="false" t="array" ref="J303:J303">O303/N303</f>
        <v>0.120361882746802</v>
      </c>
      <c r="K303" s="48" t="n">
        <f aca="false" t="array" ref="K303:K303">C303/O303</f>
        <v>1.20033112582781</v>
      </c>
      <c r="L303" s="48" t="n">
        <f aca="false" t="array" ref="L303:L303">C303/P303</f>
        <v>16.4119977362762</v>
      </c>
      <c r="M303" s="49" t="n">
        <f aca="false" t="array" ref="M303:M303">C303/Q303</f>
        <v>23.462783171521</v>
      </c>
      <c r="N303" s="49" t="n">
        <v>200728</v>
      </c>
      <c r="O303" s="49" t="n">
        <v>24160</v>
      </c>
      <c r="P303" s="49" t="n">
        <v>1767</v>
      </c>
      <c r="Q303" s="45" t="n">
        <v>1236</v>
      </c>
      <c r="R303" s="46" t="n">
        <v>0.589</v>
      </c>
      <c r="S303" s="46" t="n">
        <v>0.044</v>
      </c>
      <c r="T303" s="44" t="s">
        <v>34</v>
      </c>
      <c r="U303" s="46" t="n">
        <v>0.2921</v>
      </c>
      <c r="V303" s="77"/>
      <c r="W303" s="73"/>
      <c r="X303" s="73"/>
      <c r="Y303" s="73"/>
      <c r="Z303" s="78"/>
      <c r="AA303" s="79" t="s">
        <v>282</v>
      </c>
    </row>
    <row r="304" customFormat="false" ht="18.9" hidden="false" customHeight="true" outlineLevel="0" collapsed="false">
      <c r="A304" s="44" t="s">
        <v>32</v>
      </c>
      <c r="B304" s="45" t="n">
        <v>6000</v>
      </c>
      <c r="C304" s="45" t="n">
        <v>5500</v>
      </c>
      <c r="D304" s="44" t="s">
        <v>33</v>
      </c>
      <c r="E304" s="45" t="str">
        <f aca="false" t="array" ref="E304:E304">IF(F304&gt;100,"T1",IF(F304&gt;50,"T2",IF(F304&gt;10,"T3",IF(F304&gt;1,"T4",IF(F304=0,"TBD","T5")))))</f>
        <v>T4</v>
      </c>
      <c r="F304" s="45" t="n">
        <v>7.4</v>
      </c>
      <c r="G304" s="46" t="n">
        <v>0.183</v>
      </c>
      <c r="H304" s="46" t="n">
        <v>0.067</v>
      </c>
      <c r="I304" s="46" t="n">
        <v>0.8919</v>
      </c>
      <c r="J304" s="46" t="n">
        <f aca="false" t="array" ref="J304:J304">O304/N304</f>
        <v>0.438056912906007</v>
      </c>
      <c r="K304" s="48" t="n">
        <f aca="false" t="array" ref="K304:K304">C304/O304</f>
        <v>3.60892388451444</v>
      </c>
      <c r="L304" s="48" t="n">
        <f aca="false" t="array" ref="L304:L304">C304/P304</f>
        <v>27.6381909547739</v>
      </c>
      <c r="M304" s="49" t="e">
        <f aca="false" t="array" ref="M304:M304">C304/Q304</f>
        <v>#VALUE!</v>
      </c>
      <c r="N304" s="49" t="n">
        <v>3479</v>
      </c>
      <c r="O304" s="49" t="n">
        <v>1524</v>
      </c>
      <c r="P304" s="45" t="n">
        <v>199</v>
      </c>
      <c r="Q304" s="44" t="s">
        <v>34</v>
      </c>
      <c r="R304" s="46" t="n">
        <v>0.954</v>
      </c>
      <c r="S304" s="46" t="n">
        <v>0.005</v>
      </c>
      <c r="T304" s="44" t="s">
        <v>34</v>
      </c>
      <c r="U304" s="44" t="s">
        <v>34</v>
      </c>
      <c r="V304" s="77"/>
      <c r="W304" s="73"/>
      <c r="X304" s="73"/>
      <c r="Y304" s="73"/>
      <c r="Z304" s="78"/>
      <c r="AA304" s="79" t="s">
        <v>226</v>
      </c>
    </row>
    <row r="305" customFormat="false" ht="18.9" hidden="false" customHeight="true" outlineLevel="0" collapsed="false">
      <c r="A305" s="44" t="s">
        <v>32</v>
      </c>
      <c r="B305" s="45" t="n">
        <v>13000</v>
      </c>
      <c r="C305" s="45" t="n">
        <v>14000</v>
      </c>
      <c r="D305" s="44" t="s">
        <v>33</v>
      </c>
      <c r="E305" s="45" t="str">
        <f aca="false" t="array" ref="E305:E305">IF(F305&gt;100,"T1",IF(F305&gt;50,"T2",IF(F305&gt;10,"T3",IF(F305&gt;1,"T4",IF(F305=0,"TBD","T5")))))</f>
        <v>T3</v>
      </c>
      <c r="F305" s="45" t="n">
        <v>11.8</v>
      </c>
      <c r="G305" s="46" t="n">
        <v>0.107</v>
      </c>
      <c r="H305" s="46" t="n">
        <v>0.087</v>
      </c>
      <c r="I305" s="46" t="n">
        <v>0.8533</v>
      </c>
      <c r="J305" s="46" t="n">
        <f aca="false" t="array" ref="J305:J305">O305/N305</f>
        <v>0.216475040857872</v>
      </c>
      <c r="K305" s="48" t="n">
        <f aca="false" t="array" ref="K305:K305">C305/O305</f>
        <v>0.463576158940397</v>
      </c>
      <c r="L305" s="48" t="n">
        <f aca="false" t="array" ref="L305:L305">C305/P305</f>
        <v>20.2898550724638</v>
      </c>
      <c r="M305" s="49" t="n">
        <f aca="false" t="array" ref="M305:M305">C305/Q305</f>
        <v>4666.66666666667</v>
      </c>
      <c r="N305" s="49" t="n">
        <v>139508</v>
      </c>
      <c r="O305" s="49" t="n">
        <v>30200</v>
      </c>
      <c r="P305" s="45" t="n">
        <v>690</v>
      </c>
      <c r="Q305" s="45" t="n">
        <v>3</v>
      </c>
      <c r="R305" s="46" t="n">
        <v>0.995</v>
      </c>
      <c r="S305" s="46" t="n">
        <v>0.001</v>
      </c>
      <c r="T305" s="46" t="n">
        <v>0.026</v>
      </c>
      <c r="U305" s="44" t="s">
        <v>34</v>
      </c>
      <c r="V305" s="77"/>
      <c r="W305" s="73"/>
      <c r="X305" s="73"/>
      <c r="Y305" s="73"/>
      <c r="Z305" s="78"/>
      <c r="AA305" s="79" t="s">
        <v>283</v>
      </c>
    </row>
    <row r="306" customFormat="false" ht="18.9" hidden="false" customHeight="true" outlineLevel="0" collapsed="false">
      <c r="A306" s="52" t="s">
        <v>32</v>
      </c>
      <c r="B306" s="53" t="n">
        <v>8800</v>
      </c>
      <c r="C306" s="53" t="n">
        <v>13000</v>
      </c>
      <c r="D306" s="52" t="s">
        <v>33</v>
      </c>
      <c r="E306" s="53" t="str">
        <f aca="false" t="array" ref="E306:E306">IF(F306&gt;100,"T1",IF(F306&gt;50,"T2",IF(F306&gt;10,"T3",IF(F306&gt;1,"T4",IF(F306=0,"TBD","T5")))))</f>
        <v>T4</v>
      </c>
      <c r="F306" s="53" t="n">
        <v>9.2</v>
      </c>
      <c r="G306" s="54" t="n">
        <v>0.171</v>
      </c>
      <c r="H306" s="54" t="n">
        <v>0.142</v>
      </c>
      <c r="I306" s="54" t="n">
        <v>0.8134</v>
      </c>
      <c r="J306" s="54" t="n">
        <f aca="false" t="array" ref="J306:J306">O306/N306</f>
        <v>0.473132555376983</v>
      </c>
      <c r="K306" s="56" t="n">
        <f aca="false" t="array" ref="K306:K306">C306/O306</f>
        <v>1.91995273962487</v>
      </c>
      <c r="L306" s="56" t="n">
        <f aca="false" t="array" ref="L306:L306">C306/P306</f>
        <v>40.3726708074534</v>
      </c>
      <c r="M306" s="57" t="e">
        <f aca="false" t="array" ref="M306:M306">C306/Q306</f>
        <v>#VALUE!</v>
      </c>
      <c r="N306" s="57" t="n">
        <v>14311</v>
      </c>
      <c r="O306" s="57" t="n">
        <v>6771</v>
      </c>
      <c r="P306" s="53" t="n">
        <v>322</v>
      </c>
      <c r="Q306" s="52" t="s">
        <v>34</v>
      </c>
      <c r="R306" s="54" t="n">
        <v>0.913</v>
      </c>
      <c r="S306" s="54" t="n">
        <v>0.005</v>
      </c>
      <c r="T306" s="52" t="s">
        <v>34</v>
      </c>
      <c r="U306" s="52" t="s">
        <v>34</v>
      </c>
      <c r="V306" s="107"/>
      <c r="W306" s="92"/>
      <c r="X306" s="92"/>
      <c r="Y306" s="92"/>
      <c r="Z306" s="108"/>
      <c r="AA306" s="79" t="s">
        <v>284</v>
      </c>
    </row>
    <row r="307" customFormat="false" ht="18.9" hidden="false" customHeight="true" outlineLevel="0" collapsed="false">
      <c r="A307" s="65"/>
      <c r="B307" s="65"/>
      <c r="C307" s="65"/>
      <c r="D307" s="65"/>
      <c r="E307" s="65"/>
      <c r="F307" s="65"/>
      <c r="G307" s="66"/>
      <c r="H307" s="66"/>
      <c r="I307" s="66"/>
      <c r="J307" s="66"/>
      <c r="K307" s="68"/>
      <c r="L307" s="68"/>
      <c r="M307" s="69"/>
      <c r="N307" s="69"/>
      <c r="O307" s="65"/>
      <c r="P307" s="65"/>
      <c r="Q307" s="65"/>
      <c r="R307" s="66"/>
      <c r="S307" s="66"/>
      <c r="T307" s="66"/>
      <c r="U307" s="66"/>
      <c r="V307" s="34"/>
      <c r="W307" s="33"/>
      <c r="X307" s="33"/>
      <c r="Y307" s="33"/>
      <c r="Z307" s="33"/>
      <c r="AA307" s="101"/>
    </row>
    <row r="308" customFormat="false" ht="18.9" hidden="false" customHeight="true" outlineLevel="0" collapsed="false">
      <c r="A308" s="36"/>
      <c r="B308" s="36"/>
      <c r="C308" s="36"/>
      <c r="D308" s="36"/>
      <c r="E308" s="36"/>
      <c r="F308" s="36"/>
      <c r="G308" s="37"/>
      <c r="H308" s="37"/>
      <c r="I308" s="37"/>
      <c r="J308" s="37"/>
      <c r="K308" s="39"/>
      <c r="L308" s="39"/>
      <c r="M308" s="40"/>
      <c r="N308" s="40"/>
      <c r="O308" s="40"/>
      <c r="P308" s="36"/>
      <c r="Q308" s="36"/>
      <c r="R308" s="37"/>
      <c r="S308" s="37"/>
      <c r="T308" s="37"/>
      <c r="U308" s="37"/>
      <c r="V308" s="102"/>
      <c r="W308" s="83"/>
      <c r="X308" s="83"/>
      <c r="Y308" s="83"/>
      <c r="Z308" s="83"/>
      <c r="AA308" s="102"/>
    </row>
    <row r="309" customFormat="false" ht="17.4" hidden="false" customHeight="true" outlineLevel="0" collapsed="false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7"/>
      <c r="W309" s="73"/>
      <c r="X309" s="73"/>
      <c r="Y309" s="73"/>
      <c r="Z309" s="73"/>
      <c r="AA309" s="77"/>
    </row>
    <row r="310" customFormat="false" ht="17.4" hidden="false" customHeight="true" outlineLevel="0" collapsed="false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7"/>
      <c r="W310" s="73"/>
      <c r="X310" s="73"/>
      <c r="Y310" s="73"/>
      <c r="Z310" s="73"/>
      <c r="AA310" s="77"/>
    </row>
    <row r="311" customFormat="false" ht="17.4" hidden="false" customHeight="true" outlineLevel="0" collapsed="false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7"/>
      <c r="W311" s="73"/>
      <c r="X311" s="73"/>
      <c r="Y311" s="73"/>
      <c r="Z311" s="73"/>
      <c r="AA311" s="77"/>
    </row>
    <row r="312" customFormat="false" ht="17.4" hidden="false" customHeight="true" outlineLevel="0" collapsed="false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7"/>
      <c r="W312" s="73"/>
      <c r="X312" s="73"/>
      <c r="Y312" s="73"/>
      <c r="Z312" s="73"/>
      <c r="AA312" s="77"/>
    </row>
    <row r="313" customFormat="false" ht="17.4" hidden="false" customHeight="true" outlineLevel="0" collapsed="false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7"/>
      <c r="W313" s="73"/>
      <c r="X313" s="73"/>
      <c r="Y313" s="73"/>
      <c r="Z313" s="73"/>
      <c r="AA313" s="77"/>
    </row>
    <row r="314" customFormat="false" ht="17.4" hidden="false" customHeight="true" outlineLevel="0" collapsed="false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7"/>
      <c r="W314" s="73"/>
      <c r="X314" s="73"/>
      <c r="Y314" s="73"/>
      <c r="Z314" s="73"/>
      <c r="AA314" s="77"/>
    </row>
    <row r="315" customFormat="false" ht="17.4" hidden="false" customHeight="true" outlineLevel="0" collapsed="false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7"/>
      <c r="W315" s="73"/>
      <c r="X315" s="73"/>
      <c r="Y315" s="73"/>
      <c r="Z315" s="73"/>
      <c r="AA315" s="77"/>
    </row>
    <row r="316" customFormat="false" ht="17.4" hidden="false" customHeight="true" outlineLevel="0" collapsed="false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7"/>
      <c r="W316" s="73"/>
      <c r="X316" s="73"/>
      <c r="Y316" s="73"/>
      <c r="Z316" s="73"/>
      <c r="AA316" s="77"/>
    </row>
    <row r="317" customFormat="false" ht="17.4" hidden="false" customHeight="true" outlineLevel="0" collapsed="false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7"/>
      <c r="W317" s="73"/>
      <c r="X317" s="73"/>
      <c r="Y317" s="73"/>
      <c r="Z317" s="73"/>
      <c r="AA317" s="77"/>
    </row>
    <row r="318" customFormat="false" ht="17.4" hidden="false" customHeight="true" outlineLevel="0" collapsed="false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7"/>
      <c r="W318" s="73"/>
      <c r="X318" s="73"/>
      <c r="Y318" s="73"/>
      <c r="Z318" s="73"/>
      <c r="AA318" s="77"/>
    </row>
    <row r="319" customFormat="false" ht="17.4" hidden="false" customHeight="true" outlineLevel="0" collapsed="false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7"/>
      <c r="W319" s="73"/>
      <c r="X319" s="73"/>
      <c r="Y319" s="73"/>
      <c r="Z319" s="73"/>
      <c r="AA319" s="77"/>
    </row>
    <row r="320" customFormat="false" ht="17.4" hidden="false" customHeight="true" outlineLevel="0" collapsed="false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7"/>
      <c r="W320" s="73"/>
      <c r="X320" s="73"/>
      <c r="Y320" s="73"/>
      <c r="Z320" s="73"/>
      <c r="AA320" s="77"/>
    </row>
    <row r="321" customFormat="false" ht="17.4" hidden="false" customHeight="true" outlineLevel="0" collapsed="false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7"/>
      <c r="W321" s="73"/>
      <c r="X321" s="73"/>
      <c r="Y321" s="73"/>
      <c r="Z321" s="73"/>
      <c r="AA321" s="77"/>
    </row>
    <row r="322" customFormat="false" ht="17.4" hidden="false" customHeight="true" outlineLevel="0" collapsed="false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7"/>
      <c r="W322" s="73"/>
      <c r="X322" s="73"/>
      <c r="Y322" s="73"/>
      <c r="Z322" s="73"/>
      <c r="AA322" s="77"/>
    </row>
    <row r="323" customFormat="false" ht="17.4" hidden="false" customHeight="true" outlineLevel="0" collapsed="false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7"/>
      <c r="W323" s="73"/>
      <c r="X323" s="73"/>
      <c r="Y323" s="73"/>
      <c r="Z323" s="73"/>
      <c r="AA323" s="77"/>
    </row>
    <row r="324" customFormat="false" ht="17.4" hidden="false" customHeight="true" outlineLevel="0" collapsed="false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7"/>
      <c r="W324" s="73"/>
      <c r="X324" s="73"/>
      <c r="Y324" s="73"/>
      <c r="Z324" s="73"/>
      <c r="AA324" s="77"/>
    </row>
    <row r="325" customFormat="false" ht="17.4" hidden="false" customHeight="true" outlineLevel="0" collapsed="false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7"/>
      <c r="W325" s="73"/>
      <c r="X325" s="73"/>
      <c r="Y325" s="73"/>
      <c r="Z325" s="73"/>
      <c r="AA325" s="77"/>
    </row>
    <row r="326" customFormat="false" ht="17.4" hidden="false" customHeight="true" outlineLevel="0" collapsed="false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7"/>
      <c r="W326" s="73"/>
      <c r="X326" s="73"/>
      <c r="Y326" s="73"/>
      <c r="Z326" s="73"/>
      <c r="AA326" s="77"/>
    </row>
    <row r="327" customFormat="false" ht="17.4" hidden="false" customHeight="true" outlineLevel="0" collapsed="false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7"/>
      <c r="W327" s="73"/>
      <c r="X327" s="73"/>
      <c r="Y327" s="73"/>
      <c r="Z327" s="73"/>
      <c r="AA327" s="77"/>
    </row>
    <row r="328" customFormat="false" ht="17.4" hidden="false" customHeight="true" outlineLevel="0" collapsed="false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7"/>
      <c r="W328" s="73"/>
      <c r="X328" s="73"/>
      <c r="Y328" s="73"/>
      <c r="Z328" s="73"/>
      <c r="AA328" s="77"/>
    </row>
    <row r="329" customFormat="false" ht="17.4" hidden="false" customHeight="true" outlineLevel="0" collapsed="false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7"/>
      <c r="W329" s="73"/>
      <c r="X329" s="73"/>
      <c r="Y329" s="73"/>
      <c r="Z329" s="73"/>
      <c r="AA329" s="77"/>
    </row>
    <row r="330" customFormat="false" ht="17.4" hidden="false" customHeight="true" outlineLevel="0" collapsed="false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7"/>
      <c r="W330" s="73"/>
      <c r="X330" s="73"/>
      <c r="Y330" s="73"/>
      <c r="Z330" s="73"/>
      <c r="AA330" s="77"/>
    </row>
    <row r="331" customFormat="false" ht="17.4" hidden="false" customHeight="true" outlineLevel="0" collapsed="false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7"/>
      <c r="W331" s="73"/>
      <c r="X331" s="73"/>
      <c r="Y331" s="73"/>
      <c r="Z331" s="73"/>
      <c r="AA331" s="77"/>
    </row>
    <row r="332" customFormat="false" ht="17.4" hidden="false" customHeight="true" outlineLevel="0" collapsed="false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7"/>
      <c r="W332" s="73"/>
      <c r="X332" s="73"/>
      <c r="Y332" s="73"/>
      <c r="Z332" s="73"/>
      <c r="AA332" s="77"/>
    </row>
    <row r="333" customFormat="false" ht="17.4" hidden="false" customHeight="true" outlineLevel="0" collapsed="false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7"/>
      <c r="W333" s="73"/>
      <c r="X333" s="73"/>
      <c r="Y333" s="73"/>
      <c r="Z333" s="73"/>
      <c r="AA333" s="77"/>
    </row>
    <row r="334" customFormat="false" ht="17.4" hidden="false" customHeight="true" outlineLevel="0" collapsed="false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7"/>
      <c r="W334" s="73"/>
      <c r="X334" s="73"/>
      <c r="Y334" s="73"/>
      <c r="Z334" s="73"/>
      <c r="AA334" s="77"/>
    </row>
  </sheetData>
  <hyperlinks>
    <hyperlink ref="Z45" r:id="rId1" display="可以参考这条，讲olay新版小白瓶打动我的地方，回击负评，https://www.xiaohongshu.com/explore/68aebcdf000000001d00dc45?xsec_token=MB4KxlwiNg0oEDMiVlIW0rf0kqoCJA843dip3KznuQ4r8=&amp;xsec_source=pc_pgy"/>
    <hyperlink ref="AA190" r:id="rId2" display="Y，阅读点赞都不错 可以拍初代同事&#10;&#10;https://www.xiaohongshu.com/explore/68a3def9000000001d038428?xsec_token=ABsNku1gRYNpHgwVlKqXLdv8xT7cOtjDK0WJN5QnSK3tE=&amp;xsec_source=pc_user&amp;source=web_user_page"/>
  </hyperlinks>
  <printOptions headings="false" gridLines="false" gridLinesSet="true" horizontalCentered="false" verticalCentered="false"/>
  <pageMargins left="0" right="0" top="0" bottom="0" header="0.511805555555555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Neue,Regular"&amp;P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2025-12-05T14:11:07Z</dcterms:modified>
  <cp:revision>2</cp:revision>
  <dc:subject/>
  <dc:title/>
</cp:coreProperties>
</file>